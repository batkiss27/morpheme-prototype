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4560" windowHeight="20860" tabRatio="600" firstSheet="0" activeTab="0" autoFilterDateGrouping="1"/>
  </bookViews>
  <sheets>
    <sheet name="Summary" sheetId="1" state="visible" r:id="rId1"/>
    <sheet name="Tiles" sheetId="2" state="visible" r:id="rId2"/>
    <sheet name="Pre-Run Modifiers" sheetId="3" state="visible" r:id="rId3"/>
    <sheet name="In-Run Modifiers" sheetId="4" state="visible" r:id="rId4"/>
    <sheet name="Per Round Cards" sheetId="5" state="visible" r:id="rId5"/>
    <sheet name="Economy" sheetId="6" state="visible" r:id="rId6"/>
    <sheet name="Shops" sheetId="7" state="visible" r:id="rId7"/>
    <sheet name="Boss Round Modifiers" sheetId="8" state="visible" r:id="rId8"/>
    <sheet name="Scoring" sheetId="9" state="visible" r:id="rId9"/>
    <sheet name="Achievements" sheetId="10" state="visible" r:id="rId10"/>
    <sheet name="Decisions" sheetId="11" state="visible" r:id="rId11"/>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Arial"/>
      <family val="2"/>
      <b val="1"/>
      <sz val="14"/>
    </font>
    <font>
      <name val="Arial"/>
      <family val="2"/>
      <i val="1"/>
      <color rgb="FF595959"/>
      <sz val="9"/>
    </font>
    <font>
      <name val="Arial"/>
      <family val="2"/>
      <b val="1"/>
      <color rgb="FF1F3864"/>
      <sz val="12"/>
    </font>
    <font>
      <name val="Arial"/>
      <family val="2"/>
      <b val="1"/>
      <color rgb="FFFFFFFF"/>
      <sz val="10"/>
    </font>
    <font>
      <name val="Arial"/>
      <family val="2"/>
      <sz val="10"/>
    </font>
    <font>
      <name val="Arial"/>
      <family val="2"/>
      <color rgb="FF0000FF"/>
      <sz val="10"/>
    </font>
    <font>
      <name val="Arial"/>
      <family val="2"/>
      <b val="1"/>
      <sz val="11"/>
    </font>
  </fonts>
  <fills count="9">
    <fill>
      <patternFill/>
    </fill>
    <fill>
      <patternFill patternType="gray125"/>
    </fill>
    <fill>
      <patternFill patternType="solid">
        <fgColor rgb="FF1F3864"/>
      </patternFill>
    </fill>
    <fill>
      <patternFill patternType="solid">
        <fgColor rgb="FFF2F2F2"/>
      </patternFill>
    </fill>
    <fill>
      <patternFill patternType="solid">
        <fgColor rgb="FFE2EFDA"/>
      </patternFill>
    </fill>
    <fill>
      <patternFill patternType="solid">
        <fgColor rgb="FFDDEBF7"/>
      </patternFill>
    </fill>
    <fill>
      <patternFill patternType="solid">
        <fgColor rgb="FFFCE4D6"/>
      </patternFill>
    </fill>
    <fill>
      <patternFill patternType="solid">
        <fgColor rgb="FFE4DFEC"/>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7" fillId="0" borderId="0" pivotButton="0" quotePrefix="0" xfId="0"/>
    <xf numFmtId="0" fontId="2" fillId="0" borderId="0"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8" borderId="0" pivotButton="0" quotePrefix="0" xfId="0"/>
    <xf numFmtId="0" fontId="5" fillId="0" borderId="1" pivotButton="0" quotePrefix="0" xfId="0"/>
    <xf numFmtId="2" fontId="5" fillId="0" borderId="1" pivotButton="0" quotePrefix="0" xfId="0"/>
    <xf numFmtId="3" fontId="5" fillId="0" borderId="1" pivotButton="0" quotePrefix="0" xfId="0"/>
    <xf numFmtId="0" fontId="6" fillId="6" borderId="1" applyAlignment="1" pivotButton="0" quotePrefix="0" xfId="0">
      <alignment vertical="top" wrapText="1"/>
    </xf>
    <xf numFmtId="0" fontId="5" fillId="6" borderId="1" pivotButton="0" quotePrefix="0" xfId="0"/>
    <xf numFmtId="2" fontId="5" fillId="6" borderId="1" pivotButton="0" quotePrefix="0" xfId="0"/>
    <xf numFmtId="3" fontId="5" fillId="6" borderId="1" pivotButton="0" quotePrefix="0" xfId="0"/>
    <xf numFmtId="9" fontId="4" fillId="2" borderId="1" applyAlignment="1" pivotButton="0" quotePrefix="0" xfId="0">
      <alignment vertical="center" wrapText="1"/>
    </xf>
    <xf numFmtId="0" fontId="4" fillId="2"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showGridLines="0" tabSelected="1" workbookViewId="0">
      <selection activeCell="A1" sqref="A1"/>
    </sheetView>
  </sheetViews>
  <sheetFormatPr baseColWidth="10" defaultColWidth="8.83203125" defaultRowHeight="15"/>
  <cols>
    <col width="26" customWidth="1" min="1" max="1"/>
    <col width="110" customWidth="1" min="2" max="2"/>
  </cols>
  <sheetData>
    <row r="1" ht="18" customHeight="1">
      <c r="A1" s="1" t="inlineStr">
        <is>
          <t>Morpheme — Master Design Workbook</t>
        </is>
      </c>
    </row>
    <row r="2">
      <c r="A2" s="2" t="inlineStr">
        <is>
          <t>Summary of game mechanics (no values). Values, lists and scenarios live on the other tabs. Companion to DESIGN.md. Rev 3.</t>
        </is>
      </c>
    </row>
    <row r="4" ht="16" customHeight="1">
      <c r="A4" s="3" t="inlineStr">
        <is>
          <t>CONCEPT</t>
        </is>
      </c>
    </row>
    <row r="5">
      <c r="A5" s="4" t="inlineStr">
        <is>
          <t>Mechanic</t>
        </is>
      </c>
      <c r="B5" s="4" t="inlineStr">
        <is>
          <t>Description</t>
        </is>
      </c>
    </row>
    <row r="6" ht="28" customHeight="1">
      <c r="A6" s="5" t="inlineStr">
        <is>
          <t>Premise</t>
        </is>
      </c>
      <c r="B6" s="5" t="inlineStr">
        <is>
          <t>A roguelike word-builder inspired by polysynthetic languages. Each run the player grows one word, one morpheme at a time, across 24 rounds. Every 4th round is a timed Boss Round played with the letters of that word.</t>
        </is>
      </c>
    </row>
    <row r="7">
      <c r="A7" s="5" t="inlineStr">
        <is>
          <t>Pillars</t>
        </is>
      </c>
      <c r="B7" s="5" t="inlineStr">
        <is>
          <t>One word, 24 rounds · Always extend · Two tempos (slow strategy rounds, fast boss rounds) · Language as theme, not skin.</t>
        </is>
      </c>
    </row>
    <row r="8">
      <c r="A8" s="5" t="inlineStr">
        <is>
          <t>Rarity tiers</t>
        </is>
      </c>
      <c r="B8" s="5" t="inlineStr">
        <is>
          <t>Basic / Uncommon / Exotic / Relic — applied to Per Round Cards and In-Run Modifiers. Tiles use Levels instead.</t>
        </is>
      </c>
    </row>
    <row r="9">
      <c r="A9" s="5" t="inlineStr">
        <is>
          <t>Currency</t>
        </is>
      </c>
      <c r="B9" s="5" t="inlineStr">
        <is>
          <t>Generic 'Currency' for now.</t>
        </is>
      </c>
    </row>
    <row r="11" ht="16" customHeight="1">
      <c r="A11" s="3" t="inlineStr">
        <is>
          <t>RUN STRUCTURE</t>
        </is>
      </c>
    </row>
    <row r="12">
      <c r="A12" s="4" t="inlineStr">
        <is>
          <t>Mechanic</t>
        </is>
      </c>
      <c r="B12" s="4" t="inlineStr">
        <is>
          <t>Description</t>
        </is>
      </c>
    </row>
    <row r="13">
      <c r="A13" s="5" t="inlineStr">
        <is>
          <t>Rounds</t>
        </is>
      </c>
      <c r="B13" s="5" t="inlineStr">
        <is>
          <t>24 rounds: 18 regular + 6 Boss Rounds (rounds 4, 8, 12, 16, 20, 24). Beating round 24 wins the run.</t>
        </is>
      </c>
    </row>
    <row r="14">
      <c r="A14" s="5" t="inlineStr">
        <is>
          <t>Thresholds</t>
        </is>
      </c>
      <c r="B14" s="5" t="inlineStr">
        <is>
          <t>Every round has a score threshold. It grows per round by a factor that rises in blocks of four rounds (1.5× for rounds 1–8, 1.75× for 9–12, 2× for 13–16, 2.25× for 17–20, 2.5× for 21–24), with a ×3 bump on Boss Rounds. Missing one costs a life — the round is then replayed — or ends the run.</t>
        </is>
      </c>
    </row>
    <row r="15">
      <c r="A15" s="5" t="inlineStr">
        <is>
          <t>Regular round</t>
        </is>
      </c>
      <c r="B15" s="5" t="inlineStr">
        <is>
          <t>Draw a hand from the tile pool → extend the word by ≥1 morpheme (front and/or back) → score → shop.</t>
        </is>
      </c>
    </row>
    <row r="16">
      <c r="A16" s="5" t="inlineStr">
        <is>
          <t>Boss Round</t>
        </is>
      </c>
      <c r="B16" s="5" t="inlineStr">
        <is>
          <t>Timed Scrabble-style play using the word's letters → beat a higher threshold → choose an In-Run Modifier.</t>
        </is>
      </c>
    </row>
    <row r="18" ht="16" customHeight="1">
      <c r="A18" s="3" t="inlineStr">
        <is>
          <t>TILES</t>
        </is>
      </c>
    </row>
    <row r="19">
      <c r="A19" s="4" t="inlineStr">
        <is>
          <t>Mechanic</t>
        </is>
      </c>
      <c r="B19" s="4" t="inlineStr">
        <is>
          <t>Description</t>
        </is>
      </c>
    </row>
    <row r="20" ht="28" customHeight="1">
      <c r="A20" s="5" t="inlineStr">
        <is>
          <t>Pool</t>
        </is>
      </c>
      <c r="B20" s="5" t="inlineStr">
        <is>
          <t>One tile pool per run, starting from the standard Scrabble distribution, adjusted by loadout and Loanword cards. Proposal: tiles played into the word are committed and leave the pool.</t>
        </is>
      </c>
    </row>
    <row r="21">
      <c r="A21" s="5" t="inlineStr">
        <is>
          <t>Base value</t>
        </is>
      </c>
      <c r="B21" s="5" t="inlineStr">
        <is>
          <t>Scrabble letter values. Fixed per letter, modifiable by tile modifiers.</t>
        </is>
      </c>
    </row>
    <row r="22" ht="28" customHeight="1">
      <c r="A22" s="5" t="inlineStr">
        <is>
          <t>Levels</t>
        </is>
      </c>
      <c r="B22" s="5" t="inlineStr">
        <is>
          <t>Each letter has a permanent Level 0–4 bought between runs. A letter's level gates which tile modifiers may be chosen for it in a loadout. Levels cannot be skipped and each costs more than the last.</t>
        </is>
      </c>
    </row>
    <row r="23" ht="28" customHeight="1">
      <c r="A23" s="5" t="inlineStr">
        <is>
          <t>Tile modifiers</t>
        </is>
      </c>
      <c r="B23" s="5" t="inlineStr">
        <is>
          <t>Per-tile effects: value boosts, multipliers, flexibility (wild, mutable), economy (gilded), risk (fragile, cursed). Loadout modifiers cost points equal to their level; run-time modifiers come from cards/shops.</t>
        </is>
      </c>
    </row>
    <row r="25" ht="16" customHeight="1">
      <c r="A25" s="3" t="inlineStr">
        <is>
          <t>EXTENDING THE WORD</t>
        </is>
      </c>
    </row>
    <row r="26">
      <c r="A26" s="4" t="inlineStr">
        <is>
          <t>Mechanic</t>
        </is>
      </c>
      <c r="B26" s="4" t="inlineStr">
        <is>
          <t>Description</t>
        </is>
      </c>
    </row>
    <row r="27" ht="28" customHeight="1">
      <c r="A27" s="5" t="inlineStr">
        <is>
          <t>Rule</t>
        </is>
      </c>
      <c r="B27" s="5" t="inlineStr">
        <is>
          <t>Each regular round the word must grow by at least one morpheme and remain a dictionary word (bear → bearable → unbearable). A morpheme = the letters added to one side in one step. Multiple steps in one round are allowed if every intermediate word is valid.</t>
        </is>
      </c>
    </row>
    <row r="28">
      <c r="A28" s="5" t="inlineStr">
        <is>
          <t>Extension bonuses</t>
        </is>
      </c>
      <c r="B28" s="5" t="inlineStr">
        <is>
          <t>Adding more than one morpheme in a round grants a bonus multiplier; one front + one back is worth more than two on the same side.</t>
        </is>
      </c>
    </row>
    <row r="29">
      <c r="A29" s="5" t="inlineStr">
        <is>
          <t>Sound Shift cards</t>
        </is>
      </c>
      <c r="B29" s="5" t="inlineStr">
        <is>
          <t>Change letters already in the word so a spelling-changing extension becomes legal (happy + Y→I → happiness).</t>
        </is>
      </c>
    </row>
    <row r="30" ht="28" customHeight="1">
      <c r="A30" s="5" t="inlineStr">
        <is>
          <t>Extension cards</t>
        </is>
      </c>
      <c r="B30" s="5" t="inlineStr">
        <is>
          <t>Before &amp; After and its relatives let the morpheme count keep growing without the whole string being a word: the word becomes a chain of overlapping real words. All morphemes keep counting toward the multiplier.</t>
        </is>
      </c>
    </row>
    <row r="31" ht="28" customHeight="1">
      <c r="A31" s="5" t="inlineStr">
        <is>
          <t>Strain</t>
        </is>
      </c>
      <c r="B31" s="5" t="inlineStr">
        <is>
          <t>Using an extension card costs something: that round's multiplier is computed with one fewer morpheme, the natural streak breaks, and the word is no longer 'natural' for the dividend. Extension cards are common so runs can continue; abstention is rewarded.</t>
        </is>
      </c>
    </row>
    <row r="33" ht="16" customHeight="1">
      <c r="A33" s="3" t="inlineStr">
        <is>
          <t>BOSS ROUNDS</t>
        </is>
      </c>
    </row>
    <row r="34">
      <c r="A34" s="4" t="inlineStr">
        <is>
          <t>Mechanic</t>
        </is>
      </c>
      <c r="B34" s="4" t="inlineStr">
        <is>
          <t>Description</t>
        </is>
      </c>
    </row>
    <row r="35">
      <c r="A35" s="5" t="inlineStr">
        <is>
          <t>Mode</t>
        </is>
      </c>
      <c r="B35" s="5" t="inlineStr">
        <is>
          <t>Fast-paced, timer-based Scrabble-style round with a faster soundtrack and transition animation. Adds a skill/speed axis.</t>
        </is>
      </c>
    </row>
    <row r="36" ht="28" customHeight="1">
      <c r="A36" s="5" t="inlineStr">
        <is>
          <t>Board &amp; feed</t>
        </is>
      </c>
      <c r="B36" s="5" t="inlineStr">
        <is>
          <t>A starter word is placed on the board (proposal: the player's word, shortened to fewer trailing morphemes in later bosses). The tile feed is the letters of the player's current word, modifiers intact, shown as an upcoming queue. The player can plan boss words in advance.</t>
        </is>
      </c>
    </row>
    <row r="37" ht="28" customHeight="1">
      <c r="A37" s="5" t="inlineStr">
        <is>
          <t>Play</t>
        </is>
      </c>
      <c r="B37" s="5" t="inlineStr">
        <is>
          <t>Small starting rack; new tiles arrive on an interval; place dictionary words connected to the board; rack overflow loses tiles; timer ends the round.</t>
        </is>
      </c>
    </row>
    <row r="38" ht="28" customHeight="1">
      <c r="A38" s="5" t="inlineStr">
        <is>
          <t>Boss modifier</t>
        </is>
      </c>
      <c r="B38" s="5" t="inlineStr">
        <is>
          <t>One random negative modifier per boss (e.g. all vowels become Y). Rerollable with an Amendment card or certain modifiers. Round cards may be applied before starting.</t>
        </is>
      </c>
    </row>
    <row r="39">
      <c r="A39" s="5" t="inlineStr">
        <is>
          <t>Reward</t>
        </is>
      </c>
      <c r="B39" s="5" t="inlineStr">
        <is>
          <t>Choose 1 of 3–4 random In-Run Modifiers (Hades-boon style) + currency. The word is unchanged.</t>
        </is>
      </c>
    </row>
    <row r="40">
      <c r="A40" s="5" t="inlineStr">
        <is>
          <t>Easter egg</t>
        </is>
      </c>
      <c r="B40" s="5" t="inlineStr">
        <is>
          <t>Building a secret word (polysynthetic, polysynthesis, …) jumps straight to the next Boss Round — a trap if under-prepared.</t>
        </is>
      </c>
    </row>
    <row r="42" ht="16" customHeight="1">
      <c r="A42" s="3" t="inlineStr">
        <is>
          <t>SCORING</t>
        </is>
      </c>
    </row>
    <row r="43">
      <c r="A43" s="4" t="inlineStr">
        <is>
          <t>Mechanic</t>
        </is>
      </c>
      <c r="B43" s="4" t="inlineStr">
        <is>
          <t>Description</t>
        </is>
      </c>
    </row>
    <row r="44" ht="28" customHeight="1">
      <c r="A44" s="5" t="inlineStr">
        <is>
          <t>Regular</t>
        </is>
      </c>
      <c r="B44" s="5" t="inlineStr">
        <is>
          <t>Whole word/chain tile points × morpheme multiplier (exponential in morpheme count) × extension bonus × in-run multipliers + flat bonuses.</t>
        </is>
      </c>
    </row>
    <row r="45">
      <c r="A45" s="5" t="inlineStr">
        <is>
          <t>Boss</t>
        </is>
      </c>
      <c r="B45" s="5" t="inlineStr">
        <is>
          <t>Sum over placed words of tile points × morpheme multiplier × in-run multipliers.</t>
        </is>
      </c>
    </row>
    <row r="46">
      <c r="A46" s="5" t="inlineStr">
        <is>
          <t>Strain</t>
        </is>
      </c>
      <c r="B46" s="5" t="inlineStr">
        <is>
          <t>Effective morpheme count −1 on rounds where an extension card is used.</t>
        </is>
      </c>
    </row>
    <row r="48" ht="16" customHeight="1">
      <c r="A48" s="3" t="inlineStr">
        <is>
          <t>CARDS &amp; MODIFIERS</t>
        </is>
      </c>
    </row>
    <row r="49">
      <c r="A49" s="4" t="inlineStr">
        <is>
          <t>Mechanic</t>
        </is>
      </c>
      <c r="B49" s="4" t="inlineStr">
        <is>
          <t>Description</t>
        </is>
      </c>
    </row>
    <row r="50" ht="28" customHeight="1">
      <c r="A50" s="5" t="inlineStr">
        <is>
          <t>Per Round Cards</t>
        </is>
      </c>
      <c r="B50" s="5" t="inlineStr">
        <is>
          <t>Four types — Sound Shift, Extension, Loanword, Utility — with rarity and duration (this round / rest of run). Bought in shops. Shown in a four-quadrant side panel.</t>
        </is>
      </c>
    </row>
    <row r="51" ht="28" customHeight="1">
      <c r="A51" s="5" t="inlineStr">
        <is>
          <t>In-Run Modifiers</t>
        </is>
      </c>
      <c r="B51" s="5" t="inlineStr">
        <is>
          <t>Passive effects for the rest of the run, chosen after each Boss Round; four rarity tiers; designed with synergies. A Relic lets the player pick 2 per boss. Also obtainable via conditional shop slots. Viewed in their own panel.</t>
        </is>
      </c>
    </row>
    <row r="52" ht="28" customHeight="1">
      <c r="A52" s="5" t="inlineStr">
        <is>
          <t>Pre-Run Modifiers</t>
        </is>
      </c>
      <c r="B52" s="5" t="inlineStr">
        <is>
          <t>Chosen on the Lexicon screen from a shared loadout budget. Positive categories with 4 levels each (lives, economy, hand, shop, boss tempo, …). Risk modifiers (e.g. Steep Curve: higher thresholds) are available from the start and grant extra loadout points. After a first win, Challenge modifiers can be enabled: harder runs in exchange for extra loadout points.</t>
        </is>
      </c>
    </row>
    <row r="53">
      <c r="A53" s="5" t="inlineStr">
        <is>
          <t>Audio</t>
        </is>
      </c>
      <c r="B53" s="5" t="inlineStr">
        <is>
          <t>Every card and modifier has a unique sound cue (Before &amp; After = Wheel of Fortune sting). Boss Rounds switch to a fast soundtrack.</t>
        </is>
      </c>
    </row>
    <row r="55" ht="16" customHeight="1">
      <c r="A55" s="3" t="inlineStr">
        <is>
          <t>ECONOMY &amp; SHOPS</t>
        </is>
      </c>
    </row>
    <row r="56">
      <c r="A56" s="4" t="inlineStr">
        <is>
          <t>Mechanic</t>
        </is>
      </c>
      <c r="B56" s="4" t="inlineStr">
        <is>
          <t>Description</t>
        </is>
      </c>
    </row>
    <row r="57" ht="28" customHeight="1">
      <c r="A57" s="5" t="inlineStr">
        <is>
          <t>Earning</t>
        </is>
      </c>
      <c r="B57" s="5" t="inlineStr">
        <is>
          <t>Per-round base + margin over threshold + natural streak bonus + natural word dividend (real word with 4+ morphemes, scaling) + tile modifiers (Gilded, Trade) + in-run payouts for morpheme/tile patterns + boss bonuses.</t>
        </is>
      </c>
    </row>
    <row r="58" ht="28" customHeight="1">
      <c r="A58" s="5" t="inlineStr">
        <is>
          <t>Shops</t>
        </is>
      </c>
      <c r="B58" s="5" t="inlineStr">
        <is>
          <t>After every regular round: cards by rarity price, tile pool actions, rerolls, and a conditional In-Run Modifier slot when a round criterion is met.</t>
        </is>
      </c>
    </row>
    <row r="60" ht="16" customHeight="1">
      <c r="A60" s="3" t="inlineStr">
        <is>
          <t>PROGRESSION</t>
        </is>
      </c>
    </row>
    <row r="61">
      <c r="A61" s="4" t="inlineStr">
        <is>
          <t>Mechanic</t>
        </is>
      </c>
      <c r="B61" s="4" t="inlineStr">
        <is>
          <t>Description</t>
        </is>
      </c>
    </row>
    <row r="62" ht="28" customHeight="1">
      <c r="A62" s="5" t="inlineStr">
        <is>
          <t>Achievements</t>
        </is>
      </c>
      <c r="B62" s="5" t="inlineStr">
        <is>
          <t>Auto-checked after each run. Unlock cards and in-run modifiers, grant Lexicon points, grow the loadout budget, unlock challenge modifiers. Include abstention achievements and easter eggs.</t>
        </is>
      </c>
    </row>
    <row r="63">
      <c r="A63" s="5" t="inlineStr">
        <is>
          <t>Lexicon screen</t>
        </is>
      </c>
      <c r="B63" s="5" t="inlineStr">
        <is>
          <t>Spend (or save) Lexicon points on tile levels and pre-run modifier levels; escalating cost per level; no skipping. Then set the loadout.</t>
        </is>
      </c>
    </row>
    <row r="64" ht="28" customHeight="1">
      <c r="A64" s="5" t="inlineStr">
        <is>
          <t>Loadout budget</t>
        </is>
      </c>
      <c r="B64" s="5" t="inlineStr">
        <is>
          <t>Shared points for tile modifiers (cost = level) and pre-run categories (cost = activated level). Starts at 4; grows +1 per boss beaten up to a per-boss cap (6 / 8 / 10 / 12 / 14 / 16 for B1–B6) and through achievements, hard cap 20.</t>
        </is>
      </c>
    </row>
    <row r="65">
      <c r="A65" s="5" t="inlineStr">
        <is>
          <t>Dictionary</t>
        </is>
      </c>
      <c r="B65" s="5" t="inlineStr">
        <is>
          <t>In-game English dictionary from an open word list. Admin add flow + player submission/review flow.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7"/>
  <sheetViews>
    <sheetView showGridLines="0" topLeftCell="A28" workbookViewId="0">
      <selection activeCell="C55" sqref="C55"/>
    </sheetView>
  </sheetViews>
  <sheetFormatPr baseColWidth="10" defaultColWidth="8.83203125" defaultRowHeight="15"/>
  <cols>
    <col width="12" customWidth="1" min="1" max="2"/>
    <col width="14" customWidth="1" min="3" max="3"/>
    <col width="12" customWidth="1" min="4" max="4"/>
    <col width="40" customWidth="1" min="5" max="5"/>
  </cols>
  <sheetData>
    <row r="1" ht="18" customHeight="1">
      <c r="A1" s="1" t="inlineStr">
        <is>
          <t>Tiles</t>
        </is>
      </c>
    </row>
    <row r="2">
      <c r="A2" s="2" t="inlineStr">
        <is>
          <t>Letter base values and pool counts start from the standard Scrabble set (source: Hasbro Scrabble rules, English edition). Blue = editable inputs.</t>
        </is>
      </c>
    </row>
    <row r="4" ht="16" customHeight="1">
      <c r="A4" s="3" t="inlineStr">
        <is>
          <t>Letters — base value and starting pool count</t>
        </is>
      </c>
    </row>
    <row r="5">
      <c r="A5" s="4" t="inlineStr">
        <is>
          <t>Letter</t>
        </is>
      </c>
      <c r="B5" s="4" t="inlineStr">
        <is>
          <t>Base Value</t>
        </is>
      </c>
      <c r="C5" s="4" t="inlineStr">
        <is>
          <t>Starting Count</t>
        </is>
      </c>
      <c r="D5" s="4" t="inlineStr">
        <is>
          <t>Type</t>
        </is>
      </c>
      <c r="E5" s="4" t="inlineStr">
        <is>
          <t>Notes</t>
        </is>
      </c>
    </row>
    <row r="6">
      <c r="A6" s="5" t="inlineStr">
        <is>
          <t>A</t>
        </is>
      </c>
      <c r="B6" s="6" t="n">
        <v>1</v>
      </c>
      <c r="C6" s="6" t="n">
        <v>9</v>
      </c>
      <c r="D6" s="5" t="inlineStr">
        <is>
          <t>Vowel</t>
        </is>
      </c>
      <c r="E6" s="5" t="n"/>
    </row>
    <row r="7">
      <c r="A7" s="7" t="inlineStr">
        <is>
          <t>B</t>
        </is>
      </c>
      <c r="B7" s="8" t="n">
        <v>3</v>
      </c>
      <c r="C7" s="8" t="n">
        <v>2</v>
      </c>
      <c r="D7" s="7" t="inlineStr">
        <is>
          <t>Consonant</t>
        </is>
      </c>
      <c r="E7" s="7" t="n"/>
    </row>
    <row r="8">
      <c r="A8" s="5" t="inlineStr">
        <is>
          <t>C</t>
        </is>
      </c>
      <c r="B8" s="6" t="n">
        <v>3</v>
      </c>
      <c r="C8" s="6" t="n">
        <v>2</v>
      </c>
      <c r="D8" s="5" t="inlineStr">
        <is>
          <t>Consonant</t>
        </is>
      </c>
      <c r="E8" s="5" t="n"/>
    </row>
    <row r="9">
      <c r="A9" s="7" t="inlineStr">
        <is>
          <t>D</t>
        </is>
      </c>
      <c r="B9" s="8" t="n">
        <v>2</v>
      </c>
      <c r="C9" s="8" t="n">
        <v>4</v>
      </c>
      <c r="D9" s="7" t="inlineStr">
        <is>
          <t>Consonant</t>
        </is>
      </c>
      <c r="E9" s="7" t="n"/>
    </row>
    <row r="10">
      <c r="A10" s="5" t="inlineStr">
        <is>
          <t>E</t>
        </is>
      </c>
      <c r="B10" s="6" t="n">
        <v>1</v>
      </c>
      <c r="C10" s="6" t="n">
        <v>12</v>
      </c>
      <c r="D10" s="5" t="inlineStr">
        <is>
          <t>Vowel</t>
        </is>
      </c>
      <c r="E10" s="5" t="n"/>
    </row>
    <row r="11">
      <c r="A11" s="7" t="inlineStr">
        <is>
          <t>F</t>
        </is>
      </c>
      <c r="B11" s="8" t="n">
        <v>4</v>
      </c>
      <c r="C11" s="8" t="n">
        <v>2</v>
      </c>
      <c r="D11" s="7" t="inlineStr">
        <is>
          <t>Consonant</t>
        </is>
      </c>
      <c r="E11" s="7" t="n"/>
    </row>
    <row r="12">
      <c r="A12" s="5" t="inlineStr">
        <is>
          <t>G</t>
        </is>
      </c>
      <c r="B12" s="6" t="n">
        <v>2</v>
      </c>
      <c r="C12" s="6" t="n">
        <v>3</v>
      </c>
      <c r="D12" s="5" t="inlineStr">
        <is>
          <t>Consonant</t>
        </is>
      </c>
      <c r="E12" s="5" t="n"/>
    </row>
    <row r="13">
      <c r="A13" s="7" t="inlineStr">
        <is>
          <t>H</t>
        </is>
      </c>
      <c r="B13" s="8" t="n">
        <v>4</v>
      </c>
      <c r="C13" s="8" t="n">
        <v>2</v>
      </c>
      <c r="D13" s="7" t="inlineStr">
        <is>
          <t>Consonant</t>
        </is>
      </c>
      <c r="E13" s="7" t="n"/>
    </row>
    <row r="14">
      <c r="A14" s="5" t="inlineStr">
        <is>
          <t>I</t>
        </is>
      </c>
      <c r="B14" s="6" t="n">
        <v>1</v>
      </c>
      <c r="C14" s="6" t="n">
        <v>9</v>
      </c>
      <c r="D14" s="5" t="inlineStr">
        <is>
          <t>Vowel</t>
        </is>
      </c>
      <c r="E14" s="5" t="n"/>
    </row>
    <row r="15">
      <c r="A15" s="7" t="inlineStr">
        <is>
          <t>J</t>
        </is>
      </c>
      <c r="B15" s="8" t="n">
        <v>8</v>
      </c>
      <c r="C15" s="8" t="n">
        <v>1</v>
      </c>
      <c r="D15" s="7" t="inlineStr">
        <is>
          <t>Consonant</t>
        </is>
      </c>
      <c r="E15" s="7" t="n"/>
    </row>
    <row r="16">
      <c r="A16" s="5" t="inlineStr">
        <is>
          <t>K</t>
        </is>
      </c>
      <c r="B16" s="6" t="n">
        <v>5</v>
      </c>
      <c r="C16" s="6" t="n">
        <v>1</v>
      </c>
      <c r="D16" s="5" t="inlineStr">
        <is>
          <t>Consonant</t>
        </is>
      </c>
      <c r="E16" s="5" t="n"/>
    </row>
    <row r="17">
      <c r="A17" s="7" t="inlineStr">
        <is>
          <t>L</t>
        </is>
      </c>
      <c r="B17" s="8" t="n">
        <v>1</v>
      </c>
      <c r="C17" s="8" t="n">
        <v>4</v>
      </c>
      <c r="D17" s="7" t="inlineStr">
        <is>
          <t>Consonant</t>
        </is>
      </c>
      <c r="E17" s="7" t="n"/>
    </row>
    <row r="18">
      <c r="A18" s="5" t="inlineStr">
        <is>
          <t>M</t>
        </is>
      </c>
      <c r="B18" s="6" t="n">
        <v>3</v>
      </c>
      <c r="C18" s="6" t="n">
        <v>2</v>
      </c>
      <c r="D18" s="5" t="inlineStr">
        <is>
          <t>Consonant</t>
        </is>
      </c>
      <c r="E18" s="5" t="n"/>
    </row>
    <row r="19">
      <c r="A19" s="7" t="inlineStr">
        <is>
          <t>N</t>
        </is>
      </c>
      <c r="B19" s="8" t="n">
        <v>1</v>
      </c>
      <c r="C19" s="8" t="n">
        <v>6</v>
      </c>
      <c r="D19" s="7" t="inlineStr">
        <is>
          <t>Consonant</t>
        </is>
      </c>
      <c r="E19" s="7" t="n"/>
    </row>
    <row r="20">
      <c r="A20" s="5" t="inlineStr">
        <is>
          <t>O</t>
        </is>
      </c>
      <c r="B20" s="6" t="n">
        <v>1</v>
      </c>
      <c r="C20" s="6" t="n">
        <v>8</v>
      </c>
      <c r="D20" s="5" t="inlineStr">
        <is>
          <t>Vowel</t>
        </is>
      </c>
      <c r="E20" s="5" t="n"/>
    </row>
    <row r="21">
      <c r="A21" s="7" t="inlineStr">
        <is>
          <t>P</t>
        </is>
      </c>
      <c r="B21" s="8" t="n">
        <v>3</v>
      </c>
      <c r="C21" s="8" t="n">
        <v>2</v>
      </c>
      <c r="D21" s="7" t="inlineStr">
        <is>
          <t>Consonant</t>
        </is>
      </c>
      <c r="E21" s="7" t="n"/>
    </row>
    <row r="22">
      <c r="A22" s="5" t="inlineStr">
        <is>
          <t>Q</t>
        </is>
      </c>
      <c r="B22" s="6" t="n">
        <v>10</v>
      </c>
      <c r="C22" s="6" t="n">
        <v>1</v>
      </c>
      <c r="D22" s="5" t="inlineStr">
        <is>
          <t>Consonant</t>
        </is>
      </c>
      <c r="E22" s="5" t="n"/>
    </row>
    <row r="23">
      <c r="A23" s="7" t="inlineStr">
        <is>
          <t>R</t>
        </is>
      </c>
      <c r="B23" s="8" t="n">
        <v>1</v>
      </c>
      <c r="C23" s="8" t="n">
        <v>6</v>
      </c>
      <c r="D23" s="7" t="inlineStr">
        <is>
          <t>Consonant</t>
        </is>
      </c>
      <c r="E23" s="7" t="n"/>
    </row>
    <row r="24">
      <c r="A24" s="5" t="inlineStr">
        <is>
          <t>S</t>
        </is>
      </c>
      <c r="B24" s="6" t="n">
        <v>1</v>
      </c>
      <c r="C24" s="6" t="n">
        <v>4</v>
      </c>
      <c r="D24" s="5" t="inlineStr">
        <is>
          <t>Consonant</t>
        </is>
      </c>
      <c r="E24" s="5" t="n"/>
    </row>
    <row r="25">
      <c r="A25" s="7" t="inlineStr">
        <is>
          <t>T</t>
        </is>
      </c>
      <c r="B25" s="8" t="n">
        <v>1</v>
      </c>
      <c r="C25" s="8" t="n">
        <v>6</v>
      </c>
      <c r="D25" s="7" t="inlineStr">
        <is>
          <t>Consonant</t>
        </is>
      </c>
      <c r="E25" s="7" t="n"/>
    </row>
    <row r="26">
      <c r="A26" s="5" t="inlineStr">
        <is>
          <t>U</t>
        </is>
      </c>
      <c r="B26" s="6" t="n">
        <v>1</v>
      </c>
      <c r="C26" s="6" t="n">
        <v>4</v>
      </c>
      <c r="D26" s="5" t="inlineStr">
        <is>
          <t>Vowel</t>
        </is>
      </c>
      <c r="E26" s="5" t="n"/>
    </row>
    <row r="27">
      <c r="A27" s="7" t="inlineStr">
        <is>
          <t>V</t>
        </is>
      </c>
      <c r="B27" s="8" t="n">
        <v>4</v>
      </c>
      <c r="C27" s="8" t="n">
        <v>2</v>
      </c>
      <c r="D27" s="7" t="inlineStr">
        <is>
          <t>Consonant</t>
        </is>
      </c>
      <c r="E27" s="7" t="n"/>
    </row>
    <row r="28">
      <c r="A28" s="5" t="inlineStr">
        <is>
          <t>W</t>
        </is>
      </c>
      <c r="B28" s="6" t="n">
        <v>4</v>
      </c>
      <c r="C28" s="6" t="n">
        <v>2</v>
      </c>
      <c r="D28" s="5" t="inlineStr">
        <is>
          <t>Consonant</t>
        </is>
      </c>
      <c r="E28" s="5" t="n"/>
    </row>
    <row r="29">
      <c r="A29" s="7" t="inlineStr">
        <is>
          <t>X</t>
        </is>
      </c>
      <c r="B29" s="8" t="n">
        <v>8</v>
      </c>
      <c r="C29" s="8" t="n">
        <v>1</v>
      </c>
      <c r="D29" s="7" t="inlineStr">
        <is>
          <t>Consonant</t>
        </is>
      </c>
      <c r="E29" s="7" t="n"/>
    </row>
    <row r="30" ht="28" customHeight="1">
      <c r="A30" s="5" t="inlineStr">
        <is>
          <t>Y</t>
        </is>
      </c>
      <c r="B30" s="6" t="n">
        <v>4</v>
      </c>
      <c r="C30" s="6" t="n">
        <v>2</v>
      </c>
      <c r="D30" s="5" t="inlineStr">
        <is>
          <t>Consonant (semi-vowel)</t>
        </is>
      </c>
      <c r="E30" s="5" t="n"/>
    </row>
    <row r="31">
      <c r="A31" s="7" t="inlineStr">
        <is>
          <t>Z</t>
        </is>
      </c>
      <c r="B31" s="8" t="n">
        <v>10</v>
      </c>
      <c r="C31" s="8" t="n">
        <v>1</v>
      </c>
      <c r="D31" s="7" t="inlineStr">
        <is>
          <t>Consonant</t>
        </is>
      </c>
      <c r="E31" s="7" t="n"/>
    </row>
    <row r="32">
      <c r="A32" s="5" t="inlineStr">
        <is>
          <t>Blank</t>
        </is>
      </c>
      <c r="B32" s="6" t="n">
        <v>0</v>
      </c>
      <c r="C32" s="6" t="n">
        <v>2</v>
      </c>
      <c r="D32" s="5" t="inlineStr">
        <is>
          <t>Wild</t>
        </is>
      </c>
      <c r="E32" s="5" t="n"/>
    </row>
    <row r="33">
      <c r="A33" s="9" t="inlineStr">
        <is>
          <t>Total tiles</t>
        </is>
      </c>
      <c r="C33" s="9">
        <f>SUM(C6:C32)</f>
        <v/>
      </c>
      <c r="E33" s="2" t="inlineStr">
        <is>
          <t>Should equal 100 for the standard set.</t>
        </is>
      </c>
    </row>
    <row r="35" ht="16" customHeight="1">
      <c r="A35" s="3" t="inlineStr">
        <is>
          <t>Tile level unlock cost (Lexicon points, paid between runs)</t>
        </is>
      </c>
    </row>
    <row r="36" ht="28" customHeight="1">
      <c r="A36" s="4" t="inlineStr">
        <is>
          <t>Level</t>
        </is>
      </c>
      <c r="B36" s="4" t="inlineStr">
        <is>
          <t>Cost to reach</t>
        </is>
      </c>
      <c r="C36" s="4" t="inlineStr">
        <is>
          <t>Loadout cost of its modifiers</t>
        </is>
      </c>
      <c r="D36" s="4" t="n"/>
      <c r="E36" s="4" t="inlineStr">
        <is>
          <t>Notes</t>
        </is>
      </c>
    </row>
    <row r="37" ht="28" customHeight="1">
      <c r="A37" s="5" t="n">
        <v>1</v>
      </c>
      <c r="B37" s="6" t="n">
        <v>2</v>
      </c>
      <c r="C37" s="5" t="n">
        <v>1</v>
      </c>
      <c r="D37" s="5" t="n"/>
      <c r="E37" s="5" t="inlineStr">
        <is>
          <t>Illustrative — each level costs more than the previous; cannot be skipped.</t>
        </is>
      </c>
    </row>
    <row r="38">
      <c r="A38" s="7" t="n">
        <v>2</v>
      </c>
      <c r="B38" s="8" t="n">
        <v>4</v>
      </c>
      <c r="C38" s="7" t="n">
        <v>2</v>
      </c>
      <c r="D38" s="7" t="n"/>
      <c r="E38" s="7" t="n"/>
    </row>
    <row r="39">
      <c r="A39" s="5" t="n">
        <v>3</v>
      </c>
      <c r="B39" s="6" t="n">
        <v>7</v>
      </c>
      <c r="C39" s="5" t="n">
        <v>3</v>
      </c>
      <c r="D39" s="5" t="n"/>
      <c r="E39" s="5" t="n"/>
    </row>
    <row r="40" ht="28" customHeight="1">
      <c r="A40" s="7" t="n">
        <v>4</v>
      </c>
      <c r="B40" s="8" t="n">
        <v>11</v>
      </c>
      <c r="C40" s="7" t="n">
        <v>4</v>
      </c>
      <c r="D40" s="7" t="n"/>
      <c r="E40" s="7" t="inlineStr">
        <is>
          <t>Proposal: reaching Level 4 also gives the letter +1 permanent base value.</t>
        </is>
      </c>
    </row>
    <row r="42" ht="16" customHeight="1">
      <c r="A42" s="3" t="inlineStr">
        <is>
          <t>Tile modifiers by level (a letter must be at this level or higher to select the modifier in a loadout)</t>
        </is>
      </c>
    </row>
    <row r="43">
      <c r="A43" s="4" t="inlineStr">
        <is>
          <t>Level</t>
        </is>
      </c>
      <c r="B43" s="4" t="inlineStr">
        <is>
          <t>Modifier</t>
        </is>
      </c>
      <c r="C43" s="4" t="inlineStr">
        <is>
          <t>Effect</t>
        </is>
      </c>
      <c r="D43" s="4" t="inlineStr">
        <is>
          <t>Category</t>
        </is>
      </c>
      <c r="E43" s="4" t="inlineStr">
        <is>
          <t>Notes</t>
        </is>
      </c>
    </row>
    <row r="44" ht="28" customHeight="1">
      <c r="A44" s="5" t="n">
        <v>1</v>
      </c>
      <c r="B44" s="5" t="inlineStr">
        <is>
          <t>+1</t>
        </is>
      </c>
      <c r="C44" s="5" t="inlineStr">
        <is>
          <t>Flat +1 to base value.</t>
        </is>
      </c>
      <c r="D44" s="5" t="inlineStr">
        <is>
          <t>Value</t>
        </is>
      </c>
      <c r="E44" s="5" t="n"/>
    </row>
    <row r="45" ht="56" customHeight="1">
      <c r="A45" s="7" t="n">
        <v>1</v>
      </c>
      <c r="B45" s="7" t="inlineStr">
        <is>
          <t>Gilded</t>
        </is>
      </c>
      <c r="C45" s="7" t="inlineStr">
        <is>
          <t>Earn +1 currency each round this tile is in the word.</t>
        </is>
      </c>
      <c r="D45" s="7" t="inlineStr">
        <is>
          <t>Economy</t>
        </is>
      </c>
      <c r="E45" s="7" t="inlineStr">
        <is>
          <t>Scales with Treasury.</t>
        </is>
      </c>
    </row>
    <row r="46" ht="56" customHeight="1">
      <c r="A46" s="5" t="n">
        <v>1</v>
      </c>
      <c r="B46" s="5" t="inlineStr">
        <is>
          <t>Anchored</t>
        </is>
      </c>
      <c r="C46" s="5" t="inlineStr">
        <is>
          <t>×2 value if the tile is the first or last letter of the word.</t>
        </is>
      </c>
      <c r="D46" s="5" t="inlineStr">
        <is>
          <t>Value</t>
        </is>
      </c>
      <c r="E46" s="5" t="inlineStr">
        <is>
          <t>Loses value as the word grows past it.</t>
        </is>
      </c>
    </row>
    <row r="47" ht="42" customHeight="1">
      <c r="A47" s="7" t="n">
        <v>1</v>
      </c>
      <c r="B47" s="7" t="inlineStr">
        <is>
          <t>Weighted</t>
        </is>
      </c>
      <c r="C47" s="7" t="inlineStr">
        <is>
          <t>This tile is 50% more likely to be drawn.</t>
        </is>
      </c>
      <c r="D47" s="7" t="inlineStr">
        <is>
          <t>Flexibility</t>
        </is>
      </c>
      <c r="E47" s="7" t="inlineStr">
        <is>
          <t>Good on letters you build around.</t>
        </is>
      </c>
    </row>
    <row r="48" ht="28" customHeight="1">
      <c r="A48" s="5" t="n">
        <v>2</v>
      </c>
      <c r="B48" s="5" t="inlineStr">
        <is>
          <t>+2</t>
        </is>
      </c>
      <c r="C48" s="5" t="inlineStr">
        <is>
          <t>Flat +2 to base value.</t>
        </is>
      </c>
      <c r="D48" s="5" t="inlineStr">
        <is>
          <t>Value</t>
        </is>
      </c>
      <c r="E48" s="5" t="n"/>
    </row>
    <row r="49" ht="56" customHeight="1">
      <c r="A49" s="7" t="n">
        <v>2</v>
      </c>
      <c r="B49" s="7" t="inlineStr">
        <is>
          <t>Vowel Wild</t>
        </is>
      </c>
      <c r="C49" s="7" t="inlineStr">
        <is>
          <t>Tile can be played as any vowel (vowels only).</t>
        </is>
      </c>
      <c r="D49" s="7" t="inlineStr">
        <is>
          <t>Flexibility</t>
        </is>
      </c>
      <c r="E49" s="7" t="inlineStr">
        <is>
          <t>Synergy: Vowel Harmony.</t>
        </is>
      </c>
    </row>
    <row r="50" ht="56" customHeight="1">
      <c r="A50" s="5" t="n">
        <v>2</v>
      </c>
      <c r="B50" s="5" t="inlineStr">
        <is>
          <t>Trade</t>
        </is>
      </c>
      <c r="C50" s="5" t="inlineStr">
        <is>
          <t>When drawn and not played, refund 1 currency.</t>
        </is>
      </c>
      <c r="D50" s="5" t="inlineStr">
        <is>
          <t>Economy</t>
        </is>
      </c>
      <c r="E50" s="5" t="n"/>
    </row>
    <row r="51" ht="56" customHeight="1">
      <c r="A51" s="7" t="n">
        <v>2</v>
      </c>
      <c r="B51" s="7" t="inlineStr">
        <is>
          <t>Harmonic</t>
        </is>
      </c>
      <c r="C51" s="7" t="inlineStr">
        <is>
          <t>×1.5 if adjacent to a tile with the same base value.</t>
        </is>
      </c>
      <c r="D51" s="7" t="inlineStr">
        <is>
          <t>Multiplier</t>
        </is>
      </c>
      <c r="E51" s="7" t="inlineStr">
        <is>
          <t>Strong on 1-point letters.</t>
        </is>
      </c>
    </row>
    <row r="52" ht="42" customHeight="1">
      <c r="A52" s="5" t="n">
        <v>2</v>
      </c>
      <c r="B52" s="5" t="inlineStr">
        <is>
          <t>Sticky</t>
        </is>
      </c>
      <c r="C52" s="5" t="inlineStr">
        <is>
          <t>Stays in hand between rounds if unplayed.</t>
        </is>
      </c>
      <c r="D52" s="5" t="inlineStr">
        <is>
          <t>Flexibility</t>
        </is>
      </c>
      <c r="E52" s="5" t="inlineStr">
        <is>
          <t>Plan a future extension.</t>
        </is>
      </c>
    </row>
    <row r="53" ht="28" customHeight="1">
      <c r="A53" s="7" t="n">
        <v>3</v>
      </c>
      <c r="B53" s="7" t="inlineStr">
        <is>
          <t>+3</t>
        </is>
      </c>
      <c r="C53" s="7" t="inlineStr">
        <is>
          <t>Flat +3 to base value.</t>
        </is>
      </c>
      <c r="D53" s="7" t="inlineStr">
        <is>
          <t>Value</t>
        </is>
      </c>
      <c r="E53" s="7" t="n"/>
    </row>
    <row r="54" ht="56" customHeight="1">
      <c r="A54" s="5" t="n">
        <v>3</v>
      </c>
      <c r="B54" s="5" t="inlineStr">
        <is>
          <t>Compounding</t>
        </is>
      </c>
      <c r="C54" s="5" t="inlineStr">
        <is>
          <t>Gains +1 value each round it remains in the word.</t>
        </is>
      </c>
      <c r="D54" s="5" t="inlineStr">
        <is>
          <t>Value</t>
        </is>
      </c>
      <c r="E54" s="5" t="inlineStr">
        <is>
          <t>Best on early-round tiles.</t>
        </is>
      </c>
    </row>
    <row r="55" ht="84" customHeight="1">
      <c r="A55" s="7" t="n">
        <v>3</v>
      </c>
      <c r="B55" s="7" t="inlineStr">
        <is>
          <t>Mutable</t>
        </is>
      </c>
      <c r="C55" s="7" t="inlineStr">
        <is>
          <t>Once per round, may be changed to an alphabetically adjacent letter for free.</t>
        </is>
      </c>
      <c r="D55" s="7" t="inlineStr">
        <is>
          <t>Flexibility</t>
        </is>
      </c>
      <c r="E55" s="7" t="inlineStr">
        <is>
          <t>Mini Sound Shift.</t>
        </is>
      </c>
    </row>
    <row r="56" ht="70" customHeight="1">
      <c r="A56" s="5" t="n">
        <v>3</v>
      </c>
      <c r="B56" s="5" t="inlineStr">
        <is>
          <t>Silent</t>
        </is>
      </c>
      <c r="C56" s="5" t="inlineStr">
        <is>
          <t>Counts for scoring but is ignored for dictionary validity.</t>
        </is>
      </c>
      <c r="D56" s="5" t="inlineStr">
        <is>
          <t>Flexibility</t>
        </is>
      </c>
      <c r="E56" s="5" t="inlineStr">
        <is>
          <t>Powerful with high-value letters.</t>
        </is>
      </c>
    </row>
    <row r="57" ht="70" customHeight="1">
      <c r="A57" s="7" t="n">
        <v>3</v>
      </c>
      <c r="B57" s="7" t="inlineStr">
        <is>
          <t>Fragile</t>
        </is>
      </c>
      <c r="C57" s="7" t="inlineStr">
        <is>
          <t>×3 value, but the tile is destroyed after being scored twice.</t>
        </is>
      </c>
      <c r="D57" s="7" t="inlineStr">
        <is>
          <t>Risk</t>
        </is>
      </c>
      <c r="E57" s="7" t="inlineStr">
        <is>
          <t>Two big rounds then gone.</t>
        </is>
      </c>
    </row>
    <row r="58" ht="56" customHeight="1">
      <c r="A58" s="5" t="n">
        <v>3</v>
      </c>
      <c r="B58" s="5" t="inlineStr">
        <is>
          <t>Boss Ready</t>
        </is>
      </c>
      <c r="C58" s="5" t="inlineStr">
        <is>
          <t>In Boss Rounds this tile is the first to arrive in the feed.</t>
        </is>
      </c>
      <c r="D58" s="5" t="inlineStr">
        <is>
          <t>Boss</t>
        </is>
      </c>
      <c r="E58" s="5" t="inlineStr">
        <is>
          <t>Plan an opening boss word.</t>
        </is>
      </c>
    </row>
    <row r="59" ht="56" customHeight="1">
      <c r="A59" s="7" t="n">
        <v>4</v>
      </c>
      <c r="B59" s="7" t="inlineStr">
        <is>
          <t>Wild</t>
        </is>
      </c>
      <c r="C59" s="7" t="inlineStr">
        <is>
          <t>Tile can be played as any letter (scores as base value 1).</t>
        </is>
      </c>
      <c r="D59" s="7" t="inlineStr">
        <is>
          <t>Flexibility</t>
        </is>
      </c>
      <c r="E59" s="7" t="inlineStr">
        <is>
          <t>Exclusive with Heavy.</t>
        </is>
      </c>
    </row>
    <row r="60" ht="56" customHeight="1">
      <c r="A60" s="5" t="n">
        <v>4</v>
      </c>
      <c r="B60" s="5" t="inlineStr">
        <is>
          <t>Stressed</t>
        </is>
      </c>
      <c r="C60" s="5" t="inlineStr">
        <is>
          <t>+0.5× to the round multiplier while this tile is in the word.</t>
        </is>
      </c>
      <c r="D60" s="5" t="inlineStr">
        <is>
          <t>Multiplier</t>
        </is>
      </c>
      <c r="E60" s="5" t="inlineStr">
        <is>
          <t>Stacks with other Stressed tiles.</t>
        </is>
      </c>
    </row>
    <row r="61" ht="84" customHeight="1">
      <c r="A61" s="7" t="n">
        <v>4</v>
      </c>
      <c r="B61" s="7" t="inlineStr">
        <is>
          <t>Tonal</t>
        </is>
      </c>
      <c r="C61" s="7" t="inlineStr">
        <is>
          <t>×2 for the morpheme this tile is in, if that morpheme has no other Tonal tile.</t>
        </is>
      </c>
      <c r="D61" s="7" t="inlineStr">
        <is>
          <t>Multiplier</t>
        </is>
      </c>
      <c r="E61" s="7" t="n"/>
    </row>
    <row r="62" ht="42" customHeight="1">
      <c r="A62" s="5" t="n">
        <v>4</v>
      </c>
      <c r="B62" s="5" t="inlineStr">
        <is>
          <t>Heavy</t>
        </is>
      </c>
      <c r="C62" s="5" t="inlineStr">
        <is>
          <t>Tile scores double its base value.</t>
        </is>
      </c>
      <c r="D62" s="5" t="inlineStr">
        <is>
          <t>Value</t>
        </is>
      </c>
      <c r="E62" s="5" t="inlineStr">
        <is>
          <t>Exclusive with Wild.</t>
        </is>
      </c>
    </row>
    <row r="63" ht="42" customHeight="1">
      <c r="A63" s="7" t="n">
        <v>4</v>
      </c>
      <c r="B63" s="7" t="inlineStr">
        <is>
          <t>Cursed</t>
        </is>
      </c>
      <c r="C63" s="7" t="inlineStr">
        <is>
          <t>×2 value, but the tile must be played if drawn.</t>
        </is>
      </c>
      <c r="D63" s="7" t="inlineStr">
        <is>
          <t>Risk</t>
        </is>
      </c>
      <c r="E63" s="7" t="inlineStr">
        <is>
          <t>Can force a bad extension.</t>
        </is>
      </c>
    </row>
    <row r="64" ht="70" customHeight="1">
      <c r="A64" s="5" t="n">
        <v>4</v>
      </c>
      <c r="B64" s="5" t="inlineStr">
        <is>
          <t>Volatile</t>
        </is>
      </c>
      <c r="C64" s="5" t="inlineStr">
        <is>
          <t>Value is randomized each round between 0 and 3× base.</t>
        </is>
      </c>
      <c r="D64" s="5" t="inlineStr">
        <is>
          <t>Risk</t>
        </is>
      </c>
      <c r="E64" s="5" t="n"/>
    </row>
    <row r="65" ht="70" customHeight="1">
      <c r="A65" s="7" t="n">
        <v>4</v>
      </c>
      <c r="B65" s="7" t="inlineStr">
        <is>
          <t>Twin</t>
        </is>
      </c>
      <c r="C65" s="7" t="inlineStr">
        <is>
          <t>When played, a copy of this tile (with modifiers) is added to the pool.</t>
        </is>
      </c>
      <c r="D65" s="7" t="inlineStr">
        <is>
          <t>Pool</t>
        </is>
      </c>
      <c r="E65" s="7" t="inlineStr">
        <is>
          <t>Counters committed-tile pressure.</t>
        </is>
      </c>
    </row>
    <row r="67" ht="208" customHeight="1">
      <c r="A67" s="10" t="inlineStr">
        <is>
          <t>Rules: one loadout modifier per letter (open question: applies to one tile or all copies). Run-time modifiers from cards can stack up to a per-tile slot limit (proposal: 2). Wild/Heavy are mutually exclusive.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showGridLines="0" workbookViewId="0">
      <selection activeCell="E8" sqref="E8"/>
    </sheetView>
  </sheetViews>
  <sheetFormatPr baseColWidth="10" defaultColWidth="8.83203125" defaultRowHeight="15"/>
  <cols>
    <col width="18" customWidth="1" min="1" max="1"/>
    <col width="30" customWidth="1" min="2" max="4"/>
    <col width="34" customWidth="1" min="5" max="5"/>
    <col width="14" customWidth="1" min="6" max="6"/>
  </cols>
  <sheetData>
    <row r="1" ht="18" customHeight="1">
      <c r="A1" s="1" t="inlineStr">
        <is>
          <t>Pre-Run Modifiers</t>
        </is>
      </c>
    </row>
    <row r="2">
      <c r="A2" s="2" t="inlineStr">
        <is>
          <t>Selected on the Lexicon screen before a run from a shared loadout budget; persist for the whole run. Positive categories are all available from the start; Challenge modifiers unlock after the first win.</t>
        </is>
      </c>
    </row>
    <row r="4" ht="16" customHeight="1">
      <c r="A4" s="3" t="inlineStr">
        <is>
          <t>Positive categories — each has 4 levels bought with Lexicon points (same cost curve as tile levels). Loadout cost = the level activated (a category may be run below its unlocked level).</t>
        </is>
      </c>
    </row>
    <row r="5">
      <c r="A5" s="4" t="inlineStr">
        <is>
          <t>Category</t>
        </is>
      </c>
      <c r="B5" s="4" t="inlineStr">
        <is>
          <t>Level 1</t>
        </is>
      </c>
      <c r="C5" s="4" t="inlineStr">
        <is>
          <t>Level 2</t>
        </is>
      </c>
      <c r="D5" s="4" t="inlineStr">
        <is>
          <t>Level 3</t>
        </is>
      </c>
      <c r="E5" s="4" t="inlineStr">
        <is>
          <t>Level 4</t>
        </is>
      </c>
      <c r="F5" s="4" t="inlineStr">
        <is>
          <t>Notes</t>
        </is>
      </c>
    </row>
    <row r="6" ht="126" customHeight="1">
      <c r="A6" s="5" t="inlineStr">
        <is>
          <t>Second Breath</t>
        </is>
      </c>
      <c r="B6" s="5" t="inlineStr">
        <is>
          <t>1 extra life</t>
        </is>
      </c>
      <c r="C6" s="5" t="inlineStr">
        <is>
          <t>2 extra lives</t>
        </is>
      </c>
      <c r="D6" s="5" t="inlineStr">
        <is>
          <t>3 extra lives</t>
        </is>
      </c>
      <c r="E6" s="5" t="inlineStr">
        <is>
          <t>4 extra lives</t>
        </is>
      </c>
      <c r="F6" s="5" t="inlineStr">
        <is>
          <t>A life absorbs one failed threshold and the round is replayed (regular: fresh hand, the word as it was before the round; boss: a new modifier). The round still counts as failed for the streak and no shop is offered.</t>
        </is>
      </c>
    </row>
    <row r="7" ht="84" customHeight="1">
      <c r="A7" s="7" t="inlineStr">
        <is>
          <t>Treasury</t>
        </is>
      </c>
      <c r="B7" s="7" t="inlineStr">
        <is>
          <t>+1 currency per round cleared</t>
        </is>
      </c>
      <c r="C7" s="7" t="inlineStr">
        <is>
          <t>Natural streak bonus doubled</t>
        </is>
      </c>
      <c r="D7" s="7" t="inlineStr">
        <is>
          <t>10% shop discount</t>
        </is>
      </c>
      <c r="E7" s="7" t="inlineStr">
        <is>
          <t>Natural word dividend doubled</t>
        </is>
      </c>
      <c r="F7" s="7" t="inlineStr">
        <is>
          <t>Economy category. Abstention achievement: win on base Treasury.</t>
        </is>
      </c>
    </row>
    <row r="8" ht="70" customHeight="1">
      <c r="A8" s="5" t="inlineStr">
        <is>
          <t>Substrate</t>
        </is>
      </c>
      <c r="B8" s="5" t="inlineStr">
        <is>
          <t>1 free redraw per round</t>
        </is>
      </c>
      <c r="C8" s="5" t="inlineStr">
        <is>
          <t>Hand size +1</t>
        </is>
      </c>
      <c r="D8" s="5" t="inlineStr">
        <is>
          <t>Hand +1, 1 free redraw per round</t>
        </is>
      </c>
      <c r="E8" s="5" t="inlineStr">
        <is>
          <t>Hand +2, 1 free redraw per round</t>
        </is>
      </c>
      <c r="F8" s="5" t="inlineStr">
        <is>
          <t>Hand size drives how often a natural extension is possible — retuned 2026-09-18 (was +1/+2/+2+redraw/+3+redraw): a bigger hand was too strong, so the first level is the redraw.</t>
        </is>
      </c>
    </row>
    <row r="9" ht="28" customHeight="1">
      <c r="A9" s="7" t="inlineStr">
        <is>
          <t>Bazaar</t>
        </is>
      </c>
      <c r="B9" s="7" t="inlineStr">
        <is>
          <t>+1 card slot in shop</t>
        </is>
      </c>
      <c r="C9" s="7" t="inlineStr">
        <is>
          <t>+1 slot, 1 free reroll</t>
        </is>
      </c>
      <c r="D9" s="7" t="inlineStr">
        <is>
          <t>+2 slots, 1 free reroll</t>
        </is>
      </c>
      <c r="E9" s="7" t="inlineStr">
        <is>
          <t>+2 slots, 2 free rerolls, +1 card hand limit per type</t>
        </is>
      </c>
      <c r="F9" s="7" t="inlineStr">
        <is>
          <t>Shop category.</t>
        </is>
      </c>
    </row>
    <row r="10" ht="56" customHeight="1">
      <c r="A10" s="5" t="inlineStr">
        <is>
          <t>Tempo</t>
        </is>
      </c>
      <c r="B10" s="5" t="inlineStr">
        <is>
          <t>Boss timer +10%</t>
        </is>
      </c>
      <c r="C10" s="5" t="inlineStr">
        <is>
          <t>Boss timer +20%</t>
        </is>
      </c>
      <c r="D10" s="5" t="inlineStr">
        <is>
          <t>Boss timer +20%, feed 10% slower</t>
        </is>
      </c>
      <c r="E10" s="5" t="inlineStr">
        <is>
          <t>Boss timer +30%, feed 20% slower, rack +1</t>
        </is>
      </c>
      <c r="F10" s="5" t="inlineStr">
        <is>
          <t>Boss category. Reduces the skill pressure of Boss Rounds.</t>
        </is>
      </c>
    </row>
    <row r="11" ht="28" customHeight="1">
      <c r="A11" s="7" t="inlineStr">
        <is>
          <t>Insight</t>
        </is>
      </c>
      <c r="B11" s="7" t="inlineStr">
        <is>
          <t>See the boss modifier one round early</t>
        </is>
      </c>
      <c r="C11" s="7" t="inlineStr">
        <is>
          <t>See it two rounds early</t>
        </is>
      </c>
      <c r="D11" s="7" t="inlineStr">
        <is>
          <t>Two rounds early + 1 free reroll of a boss modifier per run</t>
        </is>
      </c>
      <c r="E11" s="7" t="inlineStr">
        <is>
          <t>Two rounds early + 1 free reroll per boss</t>
        </is>
      </c>
      <c r="F11" s="7" t="inlineStr">
        <is>
          <t>Information/planning category.</t>
        </is>
      </c>
    </row>
    <row r="12" ht="28" customHeight="1">
      <c r="A12" s="5" t="inlineStr">
        <is>
          <t>Reserve</t>
        </is>
      </c>
      <c r="B12" s="5" t="inlineStr">
        <is>
          <t>Start with 5 currency</t>
        </is>
      </c>
      <c r="C12" s="5" t="inlineStr">
        <is>
          <t>Start with 10 currency</t>
        </is>
      </c>
      <c r="D12" s="5" t="inlineStr">
        <is>
          <t>Start with 10 currency + 1 Basic card</t>
        </is>
      </c>
      <c r="E12" s="5" t="inlineStr">
        <is>
          <t>Start with 15 currency + 1 Uncommon card</t>
        </is>
      </c>
      <c r="F12" s="5" t="inlineStr">
        <is>
          <t>Early-game acceleration.</t>
        </is>
      </c>
    </row>
    <row r="13" ht="98" customHeight="1">
      <c r="A13" s="7" t="inlineStr">
        <is>
          <t>Clemency</t>
        </is>
      </c>
      <c r="B13" s="7" t="inlineStr">
        <is>
          <t>Strain reduced: effective morphemes −0.5 instead of −1</t>
        </is>
      </c>
      <c r="C13" s="7" t="inlineStr">
        <is>
          <t>Strain does not break the natural streak</t>
        </is>
      </c>
      <c r="D13" s="7" t="inlineStr">
        <is>
          <t>First extension card per boss cycle has no strain</t>
        </is>
      </c>
      <c r="E13" s="7" t="inlineStr">
        <is>
          <t>No strain at all</t>
        </is>
      </c>
      <c r="F13" s="7" t="inlineStr">
        <is>
          <t>Makes extension cards cheap to use. Abstention achievement: win with Clemency at 0.</t>
        </is>
      </c>
    </row>
    <row r="15" ht="16" customHeight="1">
      <c r="A15" s="3" t="inlineStr">
        <is>
          <t>Risk modifiers — available from the start. Opt-in handicaps that raise the scoring thresholds and grant extra loadout points for that run. Level 1 is the agreed version; levels 2–4 are [proposal].</t>
        </is>
      </c>
    </row>
    <row r="16">
      <c r="A16" s="4" t="inlineStr">
        <is>
          <t>Risk</t>
        </is>
      </c>
      <c r="B16" s="4" t="inlineStr">
        <is>
          <t>Level 1</t>
        </is>
      </c>
      <c r="C16" s="4" t="inlineStr">
        <is>
          <t>Level 2</t>
        </is>
      </c>
      <c r="D16" s="4" t="inlineStr">
        <is>
          <t>Level 3</t>
        </is>
      </c>
      <c r="E16" s="4" t="inlineStr">
        <is>
          <t>Level 4</t>
        </is>
      </c>
      <c r="F16" s="4" t="inlineStr">
        <is>
          <t>Notes</t>
        </is>
      </c>
    </row>
    <row r="17">
      <c r="A17" s="5" t="inlineStr">
        <is>
          <t>Steep Curve</t>
        </is>
      </c>
      <c r="B17" s="5" t="inlineStr">
        <is>
          <t>All thresholds ×1.15; +1 loadout point</t>
        </is>
      </c>
      <c r="C17" s="6" t="inlineStr">
        <is>
          <t>All thresholds ×1.3; +2 loadout points</t>
        </is>
      </c>
      <c r="D17" s="5" t="inlineStr">
        <is>
          <t>All thresholds ×1.5; +3 loadout points</t>
        </is>
      </c>
      <c r="E17" s="5" t="inlineStr">
        <is>
          <t>All thresholds ×1.75; +4 loadout points</t>
        </is>
      </c>
      <c r="F17" t="inlineStr">
        <is>
          <t>Scales every threshold (regular and boss). Loadout cost 0 — it grants points instead. Supersedes the Steep challenge modifier [proposal].</t>
        </is>
      </c>
    </row>
    <row r="19" ht="16" customHeight="1">
      <c r="A19" s="3" t="inlineStr">
        <is>
          <t>Challenge modifiers — unlocked after beating the game. Opt-in handicaps that grant extra loadout points for that run. Several descend from the old Grammarian rules.</t>
        </is>
      </c>
    </row>
    <row r="20">
      <c r="A20" s="4" t="inlineStr">
        <is>
          <t>Challenge</t>
        </is>
      </c>
      <c r="B20" s="4" t="inlineStr">
        <is>
          <t>Effect</t>
        </is>
      </c>
      <c r="C20" s="4" t="inlineStr">
        <is>
          <t>Loadout points granted</t>
        </is>
      </c>
      <c r="D20" s="4" t="inlineStr">
        <is>
          <t>Category</t>
        </is>
      </c>
      <c r="E20" s="4" t="inlineStr">
        <is>
          <t>Notes</t>
        </is>
      </c>
      <c r="F20" s="4" t="n"/>
    </row>
    <row r="21">
      <c r="A21" s="5" t="inlineStr">
        <is>
          <t>Vowel Thief</t>
        </is>
      </c>
      <c r="B21" s="5" t="inlineStr">
        <is>
          <t>All vowel tiles have base value 0.</t>
        </is>
      </c>
      <c r="C21" s="6" t="n">
        <v>2</v>
      </c>
      <c r="D21" s="5" t="inlineStr">
        <is>
          <t>Scoring</t>
        </is>
      </c>
      <c r="E21" s="5" t="inlineStr">
        <is>
          <t>Old Grammarian rule.</t>
        </is>
      </c>
    </row>
    <row r="22">
      <c r="A22" s="7" t="inlineStr">
        <is>
          <t>Thin Air</t>
        </is>
      </c>
      <c r="B22" s="7" t="inlineStr">
        <is>
          <t>Hand size −2.</t>
        </is>
      </c>
      <c r="C22" s="8" t="n">
        <v>2</v>
      </c>
      <c r="D22" s="7" t="inlineStr">
        <is>
          <t>Hand</t>
        </is>
      </c>
      <c r="E22" s="7" t="n"/>
    </row>
    <row r="23">
      <c r="A23" s="5" t="inlineStr">
        <is>
          <t>Tight Clock</t>
        </is>
      </c>
      <c r="B23" s="5" t="inlineStr">
        <is>
          <t>Boss timer −30%.</t>
        </is>
      </c>
      <c r="C23" s="6" t="n">
        <v>2</v>
      </c>
      <c r="D23" s="5" t="inlineStr">
        <is>
          <t>Boss</t>
        </is>
      </c>
      <c r="E23" s="5" t="n"/>
    </row>
    <row r="24">
      <c r="A24" s="7" t="inlineStr">
        <is>
          <t>Short Fuse</t>
        </is>
      </c>
      <c r="B24" s="7" t="inlineStr">
        <is>
          <t>Boss tile feed 2× faster.</t>
        </is>
      </c>
      <c r="C24" s="8" t="n">
        <v>3</v>
      </c>
      <c r="D24" s="7" t="inlineStr">
        <is>
          <t>Boss</t>
        </is>
      </c>
      <c r="E24" s="7" t="n"/>
    </row>
    <row r="25" ht="28" customHeight="1">
      <c r="A25" s="5" t="inlineStr">
        <is>
          <t>Blindfold</t>
        </is>
      </c>
      <c r="B25" s="5" t="inlineStr">
        <is>
          <t>Boss upcoming-letter queue is hidden.</t>
        </is>
      </c>
      <c r="C25" s="6" t="n">
        <v>2</v>
      </c>
      <c r="D25" s="5" t="inlineStr">
        <is>
          <t>Boss</t>
        </is>
      </c>
      <c r="E25" s="5" t="n"/>
    </row>
    <row r="26" ht="28" customHeight="1">
      <c r="A26" s="7" t="inlineStr">
        <is>
          <t>No Breath</t>
        </is>
      </c>
      <c r="B26" s="7" t="inlineStr">
        <is>
          <t>Second Breath disabled; any failed threshold ends the run.</t>
        </is>
      </c>
      <c r="C26" s="8" t="n">
        <v>3</v>
      </c>
      <c r="D26" s="7" t="inlineStr">
        <is>
          <t>Lives</t>
        </is>
      </c>
      <c r="E26" s="7" t="n"/>
    </row>
    <row r="27">
      <c r="A27" s="5" t="inlineStr">
        <is>
          <t>Steep</t>
        </is>
      </c>
      <c r="B27" s="5" t="inlineStr">
        <is>
          <t>All thresholds +25%.</t>
        </is>
      </c>
      <c r="C27" s="6" t="n">
        <v>3</v>
      </c>
      <c r="D27" s="5" t="inlineStr">
        <is>
          <t>Scoring</t>
        </is>
      </c>
      <c r="E27" s="5" t="inlineStr">
        <is>
          <t>Superseded by the Steep Curve risk modifier [proposal].</t>
        </is>
      </c>
    </row>
    <row r="28">
      <c r="A28" s="7" t="inlineStr">
        <is>
          <t>Inflation</t>
        </is>
      </c>
      <c r="B28" s="7" t="inlineStr">
        <is>
          <t>Shop prices +50%.</t>
        </is>
      </c>
      <c r="C28" s="8" t="n">
        <v>2</v>
      </c>
      <c r="D28" s="7" t="inlineStr">
        <is>
          <t>Economy</t>
        </is>
      </c>
      <c r="E28" s="7" t="n"/>
    </row>
    <row r="29" ht="28" customHeight="1">
      <c r="A29" s="5" t="inlineStr">
        <is>
          <t>Frugal Start</t>
        </is>
      </c>
      <c r="B29" s="5" t="inlineStr">
        <is>
          <t>Start with 0 currency; base income −1.</t>
        </is>
      </c>
      <c r="C29" s="6" t="n">
        <v>2</v>
      </c>
      <c r="D29" s="5" t="inlineStr">
        <is>
          <t>Economy</t>
        </is>
      </c>
      <c r="E29" s="5" t="n"/>
    </row>
    <row r="30" ht="28" customHeight="1">
      <c r="A30" s="7" t="inlineStr">
        <is>
          <t>Purist</t>
        </is>
      </c>
      <c r="B30" s="7" t="inlineStr">
        <is>
          <t>Extension cards cause double strain.</t>
        </is>
      </c>
      <c r="C30" s="8" t="n">
        <v>2</v>
      </c>
      <c r="D30" s="7" t="inlineStr">
        <is>
          <t>Extension</t>
        </is>
      </c>
      <c r="E30" s="7" t="inlineStr">
        <is>
          <t>Old Grammarian: The Purist.</t>
        </is>
      </c>
    </row>
    <row r="31">
      <c r="A31" s="5" t="inlineStr">
        <is>
          <t>Ironword</t>
        </is>
      </c>
      <c r="B31" s="5" t="inlineStr">
        <is>
          <t>No Sound Shift cards may be used.</t>
        </is>
      </c>
      <c r="C31" s="6" t="n">
        <v>3</v>
      </c>
      <c r="D31" s="5" t="inlineStr">
        <is>
          <t>Cards</t>
        </is>
      </c>
      <c r="E31" s="5" t="inlineStr">
        <is>
          <t>Old Grammarian: The Prescriptivist.</t>
        </is>
      </c>
    </row>
    <row r="32" ht="28" customHeight="1">
      <c r="A32" s="7" t="inlineStr">
        <is>
          <t>Censor</t>
        </is>
      </c>
      <c r="B32" s="7" t="inlineStr">
        <is>
          <t>One random letter is banned from new morphemes each round.</t>
        </is>
      </c>
      <c r="C32" s="8" t="n">
        <v>3</v>
      </c>
      <c r="D32" s="7" t="inlineStr">
        <is>
          <t>Cards</t>
        </is>
      </c>
      <c r="E32" s="7" t="inlineStr">
        <is>
          <t>Old Grammarian: The Censor.</t>
        </is>
      </c>
    </row>
    <row r="33" ht="28" customHeight="1">
      <c r="A33" s="5" t="inlineStr">
        <is>
          <t>Fewer Boons</t>
        </is>
      </c>
      <c r="B33" s="5" t="inlineStr">
        <is>
          <t>Boss rewards offer 2 in-run modifiers instead of 3–4.</t>
        </is>
      </c>
      <c r="C33" s="6" t="n">
        <v>2</v>
      </c>
      <c r="D33" s="5" t="inlineStr">
        <is>
          <t>Modifiers</t>
        </is>
      </c>
      <c r="E33" s="5" t="n"/>
    </row>
    <row r="34">
      <c r="A34" s="7" t="inlineStr">
        <is>
          <t>Hard Boss</t>
        </is>
      </c>
      <c r="B34" s="7" t="inlineStr">
        <is>
          <t>Boss thresholds ×1.5.</t>
        </is>
      </c>
      <c r="C34" s="8" t="n">
        <v>3</v>
      </c>
      <c r="D34" s="7" t="inlineStr">
        <is>
          <t>Boss</t>
        </is>
      </c>
      <c r="E34" s="7" t="n"/>
    </row>
    <row r="35" ht="28" customHeight="1">
      <c r="A35" s="5" t="inlineStr">
        <is>
          <t>Committed</t>
        </is>
      </c>
      <c r="B35" s="5" t="inlineStr">
        <is>
          <t>Unplayed hand tiles are discarded from the pool at end of round.</t>
        </is>
      </c>
      <c r="C35" s="6" t="n">
        <v>3</v>
      </c>
      <c r="D35" s="5" t="inlineStr">
        <is>
          <t>Pool</t>
        </is>
      </c>
      <c r="E35" s="5" t="n"/>
    </row>
    <row r="36" ht="42" customHeight="1">
      <c r="A36" s="7" t="inlineStr">
        <is>
          <t>Archivist</t>
        </is>
      </c>
      <c r="B36" s="7" t="inlineStr">
        <is>
          <t>Morpheme multiplier is frozen during Boss Rounds at the previous boss's value.</t>
        </is>
      </c>
      <c r="C36" s="8" t="n">
        <v>2</v>
      </c>
      <c r="D36" s="7" t="inlineStr">
        <is>
          <t>Boss</t>
        </is>
      </c>
      <c r="E36" s="7" t="inlineStr">
        <is>
          <t>Old Grammarian: The Archivist.</t>
        </is>
      </c>
    </row>
    <row r="38" ht="130" customHeight="1">
      <c r="A38" s="10" t="inlineStr">
        <is>
          <t>Loadout budget: shared between tile modifiers and pre-run categories. Starts at 4. Grows per boss beaten: each boss beaten in a run adds +1 while the budget is below that boss's cap — B1 → 6, B2 → 8, B3 → 10, B4 → 12, B5 → 14, B6 → 16 — so a player who cannot pass B3 tops out at 10. Achievements add on top, up to the hard cap of 20 (+ risk / challenge points). Cap of 8 modified letters. Positive-category levels are cumulative (L2 includes L1).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2"/>
  <sheetViews>
    <sheetView showGridLines="0" workbookViewId="0">
      <selection activeCell="D34" sqref="D34"/>
    </sheetView>
  </sheetViews>
  <sheetFormatPr baseColWidth="10" defaultColWidth="8.83203125" defaultRowHeight="15"/>
  <cols>
    <col width="22" customWidth="1" min="1" max="1"/>
    <col width="12" customWidth="1" min="2" max="3"/>
    <col width="60" customWidth="1" min="4" max="4"/>
    <col width="44" customWidth="1" min="5" max="5"/>
  </cols>
  <sheetData>
    <row r="1" ht="18" customHeight="1">
      <c r="A1" s="1" t="inlineStr">
        <is>
          <t>In-Run Modifiers</t>
        </is>
      </c>
    </row>
    <row r="2">
      <c r="A2" s="2" t="inlineStr">
        <is>
          <t>Chosen during the run (1 of 3–4 offered after each Boss Round, or via conditional shop slots); persist for the rest of the run. Hades-boon style with synergies. Same rarity tiers as cards.</t>
        </is>
      </c>
    </row>
    <row r="4">
      <c r="A4" s="4" t="inlineStr">
        <is>
          <t>Modifier</t>
        </is>
      </c>
      <c r="B4" s="4" t="inlineStr">
        <is>
          <t>Rarity</t>
        </is>
      </c>
      <c r="C4" s="4" t="inlineStr">
        <is>
          <t>Category</t>
        </is>
      </c>
      <c r="D4" s="4" t="inlineStr">
        <is>
          <t>Effect</t>
        </is>
      </c>
      <c r="E4" s="4" t="inlineStr">
        <is>
          <t>Synergies / Notes</t>
        </is>
      </c>
    </row>
    <row r="5">
      <c r="A5" s="5" t="inlineStr">
        <is>
          <t>Suffix Bias</t>
        </is>
      </c>
      <c r="B5" s="11" t="inlineStr">
        <is>
          <t>Basic</t>
        </is>
      </c>
      <c r="C5" s="5" t="inlineStr">
        <is>
          <t>Scoring</t>
        </is>
      </c>
      <c r="D5" s="5" t="inlineStr">
        <is>
          <t>The tail morpheme scores ×2.</t>
        </is>
      </c>
      <c r="E5" s="5" t="inlineStr">
        <is>
          <t>Prefix Bias; Reduplication.</t>
        </is>
      </c>
    </row>
    <row r="6">
      <c r="A6" s="7" t="inlineStr">
        <is>
          <t>Prefix Bias</t>
        </is>
      </c>
      <c r="B6" s="11" t="inlineStr">
        <is>
          <t>Basic</t>
        </is>
      </c>
      <c r="C6" s="7" t="inlineStr">
        <is>
          <t>Scoring</t>
        </is>
      </c>
      <c r="D6" s="7" t="inlineStr">
        <is>
          <t>The head morpheme scores ×2.</t>
        </is>
      </c>
      <c r="E6" s="7" t="inlineStr">
        <is>
          <t>Suffix Bias; Mirror.</t>
        </is>
      </c>
    </row>
    <row r="7">
      <c r="A7" s="5" t="inlineStr">
        <is>
          <t>Consonant Cluster</t>
        </is>
      </c>
      <c r="B7" s="11" t="inlineStr">
        <is>
          <t>Basic</t>
        </is>
      </c>
      <c r="C7" s="5" t="inlineStr">
        <is>
          <t>Scoring</t>
        </is>
      </c>
      <c r="D7" s="5" t="inlineStr">
        <is>
          <t>Each run of 3+ consonants in the word scores a flat +15.</t>
        </is>
      </c>
      <c r="E7" s="5" t="inlineStr">
        <is>
          <t>Fortition card.</t>
        </is>
      </c>
    </row>
    <row r="8">
      <c r="A8" s="7" t="inlineStr">
        <is>
          <t>Inflection</t>
        </is>
      </c>
      <c r="B8" s="11" t="inlineStr">
        <is>
          <t>Basic</t>
        </is>
      </c>
      <c r="C8" s="7" t="inlineStr">
        <is>
          <t>Scoring</t>
        </is>
      </c>
      <c r="D8" s="7" t="inlineStr">
        <is>
          <t>Morphemes of 1–2 letters score ×2.</t>
        </is>
      </c>
      <c r="E8" s="7" t="inlineStr">
        <is>
          <t>Plurals and -ly/-er endings become valuable.</t>
        </is>
      </c>
    </row>
    <row r="9">
      <c r="A9" s="5" t="inlineStr">
        <is>
          <t>Long Form</t>
        </is>
      </c>
      <c r="B9" s="11" t="inlineStr">
        <is>
          <t>Basic</t>
        </is>
      </c>
      <c r="C9" s="5" t="inlineStr">
        <is>
          <t>Scoring</t>
        </is>
      </c>
      <c r="D9" s="5" t="inlineStr">
        <is>
          <t>Morphemes of 5+ letters score +10 flat.</t>
        </is>
      </c>
      <c r="E9" s="5" t="inlineStr">
        <is>
          <t>Hyphen card; Sesquipedalian.</t>
        </is>
      </c>
    </row>
    <row r="10">
      <c r="A10" s="7" t="inlineStr">
        <is>
          <t>Coinage</t>
        </is>
      </c>
      <c r="B10" s="11" t="inlineStr">
        <is>
          <t>Basic</t>
        </is>
      </c>
      <c r="C10" s="7" t="inlineStr">
        <is>
          <t>Economy</t>
        </is>
      </c>
      <c r="D10" s="7" t="inlineStr">
        <is>
          <t>+1 currency per morpheme in the word at the end of each round.</t>
        </is>
      </c>
      <c r="E10" s="7" t="inlineStr">
        <is>
          <t>Treasury; Agglutination.</t>
        </is>
      </c>
    </row>
    <row r="11">
      <c r="A11" s="5" t="inlineStr">
        <is>
          <t>Rack Extension</t>
        </is>
      </c>
      <c r="B11" s="11" t="inlineStr">
        <is>
          <t>Basic</t>
        </is>
      </c>
      <c r="C11" s="5" t="inlineStr">
        <is>
          <t>Boss</t>
        </is>
      </c>
      <c r="D11" s="5" t="inlineStr">
        <is>
          <t>Boss rack size +2.</t>
        </is>
      </c>
      <c r="E11" s="5" t="inlineStr">
        <is>
          <t>Overflow.</t>
        </is>
      </c>
    </row>
    <row r="12">
      <c r="A12" s="7" t="inlineStr">
        <is>
          <t>Bonus Draw</t>
        </is>
      </c>
      <c r="B12" s="11" t="inlineStr">
        <is>
          <t>Basic</t>
        </is>
      </c>
      <c r="C12" s="7" t="inlineStr">
        <is>
          <t>Pool</t>
        </is>
      </c>
      <c r="D12" s="7" t="inlineStr">
        <is>
          <t>Hand size +1.</t>
        </is>
      </c>
      <c r="E12" s="7" t="inlineStr">
        <is>
          <t>Substrate.</t>
        </is>
      </c>
    </row>
    <row r="13" ht="28" customHeight="1">
      <c r="A13" s="5" t="inlineStr">
        <is>
          <t>Lexicon Hint</t>
        </is>
      </c>
      <c r="B13" s="11" t="inlineStr">
        <is>
          <t>Basic</t>
        </is>
      </c>
      <c r="C13" s="5" t="inlineStr">
        <is>
          <t>Extension</t>
        </is>
      </c>
      <c r="D13" s="5" t="inlineStr">
        <is>
          <t>Each round, highlight up to 3 valid natural extensions available from the hand.</t>
        </is>
      </c>
      <c r="E13" s="5" t="inlineStr">
        <is>
          <t>Reduces reliance on extension cards.</t>
        </is>
      </c>
    </row>
    <row r="14">
      <c r="A14" s="7" t="inlineStr">
        <is>
          <t>Blank Slate</t>
        </is>
      </c>
      <c r="B14" s="11" t="inlineStr">
        <is>
          <t>Basic</t>
        </is>
      </c>
      <c r="C14" s="7" t="inlineStr">
        <is>
          <t>Pool</t>
        </is>
      </c>
      <c r="D14" s="7" t="inlineStr">
        <is>
          <t>Add 2 blank (wild) tiles to the pool.</t>
        </is>
      </c>
      <c r="E14" s="7" t="inlineStr">
        <is>
          <t>Wild synergies.</t>
        </is>
      </c>
    </row>
    <row r="15" ht="28" customHeight="1">
      <c r="A15" s="5" t="inlineStr">
        <is>
          <t>Vowel Harmony</t>
        </is>
      </c>
      <c r="B15" s="12" t="inlineStr">
        <is>
          <t>Uncommon</t>
        </is>
      </c>
      <c r="C15" s="5" t="inlineStr">
        <is>
          <t>Scoring</t>
        </is>
      </c>
      <c r="D15" s="5" t="inlineStr">
        <is>
          <t>If every vowel in the new morpheme already appears in the word, that morpheme scores ×2.</t>
        </is>
      </c>
      <c r="E15" s="5" t="inlineStr">
        <is>
          <t>Vowel Wild tiles; Vowel Shift card.</t>
        </is>
      </c>
    </row>
    <row r="16" ht="28" customHeight="1">
      <c r="A16" s="7" t="inlineStr">
        <is>
          <t>Reduplication</t>
        </is>
      </c>
      <c r="B16" s="12" t="inlineStr">
        <is>
          <t>Uncommon</t>
        </is>
      </c>
      <c r="C16" s="7" t="inlineStr">
        <is>
          <t>Scoring</t>
        </is>
      </c>
      <c r="D16" s="7" t="inlineStr">
        <is>
          <t>If the new morpheme repeats a morpheme already in the word, score it twice.</t>
        </is>
      </c>
      <c r="E16" s="7" t="inlineStr">
        <is>
          <t>Reduplication card.</t>
        </is>
      </c>
    </row>
    <row r="17">
      <c r="A17" s="5" t="inlineStr">
        <is>
          <t>Incorporation</t>
        </is>
      </c>
      <c r="B17" s="12" t="inlineStr">
        <is>
          <t>Uncommon</t>
        </is>
      </c>
      <c r="C17" s="5" t="inlineStr">
        <is>
          <t>Scoring</t>
        </is>
      </c>
      <c r="D17" s="5" t="inlineStr">
        <is>
          <t>Tiles with base value ≥ 8 score +1 for each morpheme in the word.</t>
        </is>
      </c>
      <c r="E17" s="5" t="inlineStr">
        <is>
          <t>Heavy tiles; Fortition.</t>
        </is>
      </c>
    </row>
    <row r="18" ht="28" customHeight="1">
      <c r="A18" s="7" t="inlineStr">
        <is>
          <t>Momentum</t>
        </is>
      </c>
      <c r="B18" s="12" t="inlineStr">
        <is>
          <t>Uncommon</t>
        </is>
      </c>
      <c r="C18" s="7" t="inlineStr">
        <is>
          <t>Scoring</t>
        </is>
      </c>
      <c r="D18" s="7" t="inlineStr">
        <is>
          <t>Each natural extension round adds a permanent +0.01 to the multiplier base.</t>
        </is>
      </c>
      <c r="E18" s="7" t="inlineStr">
        <is>
          <t>Rewards abstaining from extension cards. Was +0.05 — the base is exponentiated by morpheme count, so +0.05/round reached 2000× the threshold by round 22 in bot playtests.</t>
        </is>
      </c>
    </row>
    <row r="19">
      <c r="A19" s="5" t="inlineStr">
        <is>
          <t>Two-Step</t>
        </is>
      </c>
      <c r="B19" s="12" t="inlineStr">
        <is>
          <t>Uncommon</t>
        </is>
      </c>
      <c r="C19" s="5" t="inlineStr">
        <is>
          <t>Extension</t>
        </is>
      </c>
      <c r="D19" s="5" t="inlineStr">
        <is>
          <t>The two-morpheme extension bonus is increased (×1.5 → ×2).</t>
        </is>
      </c>
      <c r="E19" s="5" t="inlineStr">
        <is>
          <t>Mirror; Substrate.</t>
        </is>
      </c>
    </row>
    <row r="20">
      <c r="A20" s="7" t="inlineStr">
        <is>
          <t>Etymologist</t>
        </is>
      </c>
      <c r="B20" s="12" t="inlineStr">
        <is>
          <t>Uncommon</t>
        </is>
      </c>
      <c r="C20" s="7" t="inlineStr">
        <is>
          <t>Extension</t>
        </is>
      </c>
      <c r="D20" s="7" t="inlineStr">
        <is>
          <t>The first extension card used in each boss cycle causes no strain.</t>
        </is>
      </c>
      <c r="E20" s="7" t="inlineStr">
        <is>
          <t>Before &amp; After; Echo.</t>
        </is>
      </c>
    </row>
    <row r="21" ht="28" customHeight="1">
      <c r="A21" s="5" t="inlineStr">
        <is>
          <t>Streak Keeper</t>
        </is>
      </c>
      <c r="B21" s="12" t="inlineStr">
        <is>
          <t>Uncommon</t>
        </is>
      </c>
      <c r="C21" s="5" t="inlineStr">
        <is>
          <t>Economy</t>
        </is>
      </c>
      <c r="D21" s="5" t="inlineStr">
        <is>
          <t>The natural streak is not broken by the first extension card used per boss cycle.</t>
        </is>
      </c>
      <c r="E21" s="5" t="inlineStr">
        <is>
          <t>Treasury L2.</t>
        </is>
      </c>
    </row>
    <row r="22">
      <c r="A22" s="7" t="inlineStr">
        <is>
          <t>Discount</t>
        </is>
      </c>
      <c r="B22" s="12" t="inlineStr">
        <is>
          <t>Uncommon</t>
        </is>
      </c>
      <c r="C22" s="7" t="inlineStr">
        <is>
          <t>Economy</t>
        </is>
      </c>
      <c r="D22" s="7" t="inlineStr">
        <is>
          <t>Shop prices −15%.</t>
        </is>
      </c>
      <c r="E22" s="7" t="inlineStr">
        <is>
          <t>Bazaar.</t>
        </is>
      </c>
    </row>
    <row r="23">
      <c r="A23" s="5" t="inlineStr">
        <is>
          <t>Boss Bounty</t>
        </is>
      </c>
      <c r="B23" s="12" t="inlineStr">
        <is>
          <t>Uncommon</t>
        </is>
      </c>
      <c r="C23" s="5" t="inlineStr">
        <is>
          <t>Boss</t>
        </is>
      </c>
      <c r="D23" s="5" t="inlineStr">
        <is>
          <t>+2 currency per word placed in Boss Rounds.</t>
        </is>
      </c>
      <c r="E23" s="5" t="inlineStr">
        <is>
          <t>Rack Extension.</t>
        </is>
      </c>
    </row>
    <row r="24">
      <c r="A24" s="7" t="inlineStr">
        <is>
          <t>Feed Slow</t>
        </is>
      </c>
      <c r="B24" s="12" t="inlineStr">
        <is>
          <t>Uncommon</t>
        </is>
      </c>
      <c r="C24" s="7" t="inlineStr">
        <is>
          <t>Boss</t>
        </is>
      </c>
      <c r="D24" s="7" t="inlineStr">
        <is>
          <t>Boss tile feed 20% slower.</t>
        </is>
      </c>
      <c r="E24" s="7" t="inlineStr">
        <is>
          <t>Tempo.</t>
        </is>
      </c>
    </row>
    <row r="25">
      <c r="A25" s="5" t="inlineStr">
        <is>
          <t>Second Chance</t>
        </is>
      </c>
      <c r="B25" s="12" t="inlineStr">
        <is>
          <t>Uncommon</t>
        </is>
      </c>
      <c r="C25" s="5" t="inlineStr">
        <is>
          <t>Lives</t>
        </is>
      </c>
      <c r="D25" s="5" t="inlineStr">
        <is>
          <t>+1 life.</t>
        </is>
      </c>
      <c r="E25" s="5" t="inlineStr">
        <is>
          <t>Second Breath.</t>
        </is>
      </c>
    </row>
    <row r="26">
      <c r="A26" s="7" t="inlineStr">
        <is>
          <t>Free Reroll</t>
        </is>
      </c>
      <c r="B26" s="12" t="inlineStr">
        <is>
          <t>Uncommon</t>
        </is>
      </c>
      <c r="C26" s="7" t="inlineStr">
        <is>
          <t>Economy</t>
        </is>
      </c>
      <c r="D26" s="7" t="inlineStr">
        <is>
          <t>1 free shop reroll per round.</t>
        </is>
      </c>
      <c r="E26" s="7" t="inlineStr">
        <is>
          <t>Bazaar.</t>
        </is>
      </c>
    </row>
    <row r="27">
      <c r="A27" s="5" t="inlineStr">
        <is>
          <t>Heavy Metal</t>
        </is>
      </c>
      <c r="B27" s="12" t="inlineStr">
        <is>
          <t>Uncommon</t>
        </is>
      </c>
      <c r="C27" s="5" t="inlineStr">
        <is>
          <t>Scoring</t>
        </is>
      </c>
      <c r="D27" s="5" t="inlineStr">
        <is>
          <t>Tiles with base value ≥ 4 score +2.</t>
        </is>
      </c>
      <c r="E27" s="5" t="inlineStr">
        <is>
          <t>Fortition; Borrowing card.</t>
        </is>
      </c>
    </row>
    <row r="28">
      <c r="A28" s="7" t="inlineStr">
        <is>
          <t>Agglutination</t>
        </is>
      </c>
      <c r="B28" s="13" t="inlineStr">
        <is>
          <t>Exotic</t>
        </is>
      </c>
      <c r="C28" s="7" t="inlineStr">
        <is>
          <t>Scoring</t>
        </is>
      </c>
      <c r="D28" s="7" t="inlineStr">
        <is>
          <t>Morpheme multiplier base +0.03.</t>
        </is>
      </c>
      <c r="E28" s="7" t="inlineStr">
        <is>
          <t>Everything. Was +0.1 (see Momentum).</t>
        </is>
      </c>
    </row>
    <row r="29">
      <c r="A29" s="5" t="inlineStr">
        <is>
          <t>Mirror</t>
        </is>
      </c>
      <c r="B29" s="13" t="inlineStr">
        <is>
          <t>Exotic</t>
        </is>
      </c>
      <c r="C29" s="5" t="inlineStr">
        <is>
          <t>Extension</t>
        </is>
      </c>
      <c r="D29" s="5" t="inlineStr">
        <is>
          <t>The front + back extension bonus is doubled.</t>
        </is>
      </c>
      <c r="E29" s="5" t="inlineStr">
        <is>
          <t>Two-Step; Prefix/Suffix Bias.</t>
        </is>
      </c>
    </row>
    <row r="30">
      <c r="A30" s="7" t="inlineStr">
        <is>
          <t>Sesquipedalian</t>
        </is>
      </c>
      <c r="B30" s="13" t="inlineStr">
        <is>
          <t>Exotic</t>
        </is>
      </c>
      <c r="C30" s="7" t="inlineStr">
        <is>
          <t>Scoring</t>
        </is>
      </c>
      <c r="D30" s="7" t="inlineStr">
        <is>
          <t>If the word is 20+ letters, ×1.5 to the round score.</t>
        </is>
      </c>
      <c r="E30" s="7" t="inlineStr">
        <is>
          <t>Long Form; Hyphen card.</t>
        </is>
      </c>
    </row>
    <row r="31" ht="28" customHeight="1">
      <c r="A31" s="5" t="inlineStr">
        <is>
          <t>Overflow</t>
        </is>
      </c>
      <c r="B31" s="13" t="inlineStr">
        <is>
          <t>Exotic</t>
        </is>
      </c>
      <c r="C31" s="5" t="inlineStr">
        <is>
          <t>Boss</t>
        </is>
      </c>
      <c r="D31" s="5" t="inlineStr">
        <is>
          <t>Rack overflow in Boss Rounds discards the newest tile instead of the oldest, and does not end the round.</t>
        </is>
      </c>
      <c r="E31" s="5" t="inlineStr">
        <is>
          <t>Rack Extension.</t>
        </is>
      </c>
    </row>
    <row r="32">
      <c r="A32" s="7" t="inlineStr">
        <is>
          <t>Scavenger</t>
        </is>
      </c>
      <c r="B32" s="13" t="inlineStr">
        <is>
          <t>Exotic</t>
        </is>
      </c>
      <c r="C32" s="7" t="inlineStr">
        <is>
          <t>Pool</t>
        </is>
      </c>
      <c r="D32" s="7" t="inlineStr">
        <is>
          <t>Tiles used in boss words are returned to the pool with +1 value.</t>
        </is>
      </c>
      <c r="E32" s="7" t="inlineStr">
        <is>
          <t>Committed-tile pressure relief.</t>
        </is>
      </c>
    </row>
    <row r="33">
      <c r="A33" s="5" t="inlineStr">
        <is>
          <t>Affixer</t>
        </is>
      </c>
      <c r="B33" s="13" t="inlineStr">
        <is>
          <t>Exotic</t>
        </is>
      </c>
      <c r="C33" s="5" t="inlineStr">
        <is>
          <t>Scoring</t>
        </is>
      </c>
      <c r="D33" s="5" t="inlineStr">
        <is>
          <t>Prefix (front) morphemes score ×1.5.</t>
        </is>
      </c>
      <c r="E33" s="5" t="inlineStr">
        <is>
          <t>Prefix Bias; Mirror.</t>
        </is>
      </c>
    </row>
    <row r="34">
      <c r="A34" s="7" t="inlineStr">
        <is>
          <t>Milestone Keeper</t>
        </is>
      </c>
      <c r="B34" s="13" t="inlineStr">
        <is>
          <t>Exotic</t>
        </is>
      </c>
      <c r="C34" s="7" t="inlineStr">
        <is>
          <t>Shop</t>
        </is>
      </c>
      <c r="D34" s="7" t="inlineStr">
        <is>
          <t>Every shop offers an in-run modifier slot regardless of criteria.</t>
        </is>
      </c>
      <c r="E34" s="7" t="inlineStr">
        <is>
          <t>Discount.</t>
        </is>
      </c>
    </row>
    <row r="35">
      <c r="A35" s="5" t="inlineStr">
        <is>
          <t>Double Time</t>
        </is>
      </c>
      <c r="B35" s="13" t="inlineStr">
        <is>
          <t>Exotic</t>
        </is>
      </c>
      <c r="C35" s="5" t="inlineStr">
        <is>
          <t>Boss</t>
        </is>
      </c>
      <c r="D35" s="5" t="inlineStr">
        <is>
          <t>Boss timer +50%.</t>
        </is>
      </c>
      <c r="E35" s="5" t="inlineStr">
        <is>
          <t>Tempo; Feed Slow.</t>
        </is>
      </c>
    </row>
    <row r="36">
      <c r="A36" s="7" t="inlineStr">
        <is>
          <t>Chain Lightning</t>
        </is>
      </c>
      <c r="B36" s="14" t="inlineStr">
        <is>
          <t>Relic</t>
        </is>
      </c>
      <c r="C36" s="7" t="inlineStr">
        <is>
          <t>Extension</t>
        </is>
      </c>
      <c r="D36" s="7" t="inlineStr">
        <is>
          <t>Extension cards grant +0.02 to the multiplier base instead of causing strain.</t>
        </is>
      </c>
      <c r="E36" s="7" t="inlineStr">
        <is>
          <t>Before &amp; After; Echo; Etymologist. Was +0.1 (see Momentum).</t>
        </is>
      </c>
    </row>
    <row r="37">
      <c r="A37" s="5" t="inlineStr">
        <is>
          <t>Polyglot</t>
        </is>
      </c>
      <c r="B37" s="14" t="inlineStr">
        <is>
          <t>Relic</t>
        </is>
      </c>
      <c r="C37" s="5" t="inlineStr">
        <is>
          <t>Modifiers</t>
        </is>
      </c>
      <c r="D37" s="5" t="inlineStr">
        <is>
          <t>Choose 2 in-run modifiers after each Boss Round instead of 1.</t>
        </is>
      </c>
      <c r="E37" s="5" t="inlineStr">
        <is>
          <t>Everything.</t>
        </is>
      </c>
    </row>
    <row r="38" ht="28" customHeight="1">
      <c r="A38" s="7" t="inlineStr">
        <is>
          <t>Polysynthesis</t>
        </is>
      </c>
      <c r="B38" s="14" t="inlineStr">
        <is>
          <t>Relic</t>
        </is>
      </c>
      <c r="C38" s="7" t="inlineStr">
        <is>
          <t>Scoring</t>
        </is>
      </c>
      <c r="D38" s="7" t="inlineStr">
        <is>
          <t>The morpheme multiplier has no cap (if a cap is introduced), and multiplier base +0.05.</t>
        </is>
      </c>
      <c r="E38" s="7" t="inlineStr">
        <is>
          <t>Agglutination; Momentum.</t>
        </is>
      </c>
    </row>
    <row r="39">
      <c r="A39" s="5" t="inlineStr">
        <is>
          <t>Palindrome</t>
        </is>
      </c>
      <c r="B39" s="14" t="inlineStr">
        <is>
          <t>Relic</t>
        </is>
      </c>
      <c r="C39" s="5" t="inlineStr">
        <is>
          <t>Scoring</t>
        </is>
      </c>
      <c r="D39" s="5" t="inlineStr">
        <is>
          <t>If the new morpheme is a palindrome, the whole round score ×2.</t>
        </is>
      </c>
      <c r="E39" s="5" t="inlineStr">
        <is>
          <t>Reduplication.</t>
        </is>
      </c>
    </row>
    <row r="40" ht="28" customHeight="1">
      <c r="A40" s="7" t="inlineStr">
        <is>
          <t>Immortal Word</t>
        </is>
      </c>
      <c r="B40" s="14" t="inlineStr">
        <is>
          <t>Relic</t>
        </is>
      </c>
      <c r="C40" s="7" t="inlineStr">
        <is>
          <t>Lives</t>
        </is>
      </c>
      <c r="D40" s="7" t="inlineStr">
        <is>
          <t>Once per run, a failed threshold is ignored entirely (no life lost, shop still offered).</t>
        </is>
      </c>
      <c r="E40" s="7" t="inlineStr">
        <is>
          <t>Second Breath.</t>
        </is>
      </c>
    </row>
    <row r="42" ht="117" customHeight="1">
      <c r="A42" s="10" t="inlineStr">
        <is>
          <t>Offer rules (proposal): after each boss, 3 random modifiers (4 with Bazaar L4 or Polyglot). Rarity odds shift toward Exotic/Relic in later bosses. Duplicates are not offered. Viewed in a dedicated In-Run Modifier panel.</t>
        </is>
      </c>
    </row>
    <row r="44">
      <c r="A44" s="10" t="inlineStr">
        <is>
          <t>Boss reward offer — rarity odds by boss (prototype values, [proposal])</t>
        </is>
      </c>
    </row>
    <row r="45">
      <c r="A45" t="inlineStr">
        <is>
          <t>Boss</t>
        </is>
      </c>
      <c r="B45" t="inlineStr">
        <is>
          <t>Basic</t>
        </is>
      </c>
      <c r="C45" t="inlineStr">
        <is>
          <t>Uncommon</t>
        </is>
      </c>
      <c r="D45" t="inlineStr">
        <is>
          <t>Exotic</t>
        </is>
      </c>
      <c r="E45" t="inlineStr">
        <is>
          <t>Relic</t>
        </is>
      </c>
    </row>
    <row r="46">
      <c r="A46" s="4" t="inlineStr">
        <is>
          <t>B1</t>
        </is>
      </c>
      <c r="B46" s="23" t="n">
        <v>0.6</v>
      </c>
      <c r="C46" s="23" t="n">
        <v>0.3</v>
      </c>
      <c r="D46" s="23" t="n">
        <v>0.1</v>
      </c>
      <c r="E46" s="23" t="n">
        <v>0</v>
      </c>
    </row>
    <row r="47">
      <c r="A47" s="4" t="inlineStr">
        <is>
          <t>B2</t>
        </is>
      </c>
      <c r="B47" s="23" t="n">
        <v>0.5</v>
      </c>
      <c r="C47" s="23" t="n">
        <v>0.35</v>
      </c>
      <c r="D47" s="23" t="n">
        <v>0.13</v>
      </c>
      <c r="E47" s="23" t="n">
        <v>0.02</v>
      </c>
    </row>
    <row r="48">
      <c r="A48" s="4" t="inlineStr">
        <is>
          <t>B3</t>
        </is>
      </c>
      <c r="B48" s="23" t="n">
        <v>0.4</v>
      </c>
      <c r="C48" s="23" t="n">
        <v>0.38</v>
      </c>
      <c r="D48" s="23" t="n">
        <v>0.17</v>
      </c>
      <c r="E48" s="23" t="n">
        <v>0.05</v>
      </c>
    </row>
    <row r="49">
      <c r="A49" s="4" t="inlineStr">
        <is>
          <t>B4</t>
        </is>
      </c>
      <c r="B49" s="23" t="n">
        <v>0.3</v>
      </c>
      <c r="C49" s="23" t="n">
        <v>0.4</v>
      </c>
      <c r="D49" s="23" t="n">
        <v>0.22</v>
      </c>
      <c r="E49" s="23" t="n">
        <v>0.08</v>
      </c>
    </row>
    <row r="50">
      <c r="A50" s="4" t="inlineStr">
        <is>
          <t>B5</t>
        </is>
      </c>
      <c r="B50" s="23" t="n">
        <v>0.2</v>
      </c>
      <c r="C50" s="23" t="n">
        <v>0.4</v>
      </c>
      <c r="D50" s="23" t="n">
        <v>0.28</v>
      </c>
      <c r="E50" s="23" t="n">
        <v>0.12</v>
      </c>
    </row>
    <row r="51">
      <c r="A51" s="4" t="inlineStr">
        <is>
          <t>B6</t>
        </is>
      </c>
      <c r="B51" s="23" t="n">
        <v>0.1</v>
      </c>
      <c r="C51" s="23" t="n">
        <v>0.4</v>
      </c>
      <c r="D51" s="23" t="n">
        <v>0.32</v>
      </c>
      <c r="E51" s="23" t="n">
        <v>0.18</v>
      </c>
    </row>
    <row r="52">
      <c r="A52" s="10" t="inlineStr">
        <is>
          <t>Offers: 3 (4 with Polyglot, which also picks 2). Never a modifier already held; no duplicates. The conditional shop slot offers Basic/Uncommon only (D8) for 10 currency.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7"/>
  <sheetViews>
    <sheetView showGridLines="0" workbookViewId="0">
      <selection activeCell="A1" sqref="A1"/>
    </sheetView>
  </sheetViews>
  <sheetFormatPr baseColWidth="10" defaultColWidth="8.83203125" defaultRowHeight="15"/>
  <cols>
    <col width="20" customWidth="1" min="1" max="1"/>
    <col width="12" customWidth="1" min="2" max="3"/>
    <col width="14" customWidth="1" min="4" max="4"/>
    <col width="62" customWidth="1" min="5" max="5"/>
    <col width="34" customWidth="1" min="6" max="6"/>
    <col width="10" customWidth="1" min="7" max="7"/>
  </cols>
  <sheetData>
    <row r="1" ht="18" customHeight="1">
      <c r="A1" s="1" t="inlineStr">
        <is>
          <t>Per Round Cards</t>
        </is>
      </c>
    </row>
    <row r="2">
      <c r="A2" s="2" t="inlineStr">
        <is>
          <t>Bought in shops. Card Type drives the four-quadrant side panel. Duration = this round only, or a lasting change to a tile/pool. Every card has a unique sound cue.</t>
        </is>
      </c>
    </row>
    <row r="4">
      <c r="A4" s="4" t="inlineStr">
        <is>
          <t>Card</t>
        </is>
      </c>
      <c r="B4" s="4" t="inlineStr">
        <is>
          <t>Card Type</t>
        </is>
      </c>
      <c r="C4" s="4" t="inlineStr">
        <is>
          <t>Rarity</t>
        </is>
      </c>
      <c r="D4" s="4" t="inlineStr">
        <is>
          <t>Duration</t>
        </is>
      </c>
      <c r="E4" s="4" t="inlineStr">
        <is>
          <t>Effect</t>
        </is>
      </c>
      <c r="F4" s="4" t="inlineStr">
        <is>
          <t>Sound cue idea</t>
        </is>
      </c>
      <c r="G4" s="4" t="inlineStr">
        <is>
          <t>Shop price</t>
        </is>
      </c>
    </row>
    <row r="5" ht="42" customHeight="1">
      <c r="A5" s="5" t="inlineStr">
        <is>
          <t>Before &amp; After</t>
        </is>
      </c>
      <c r="B5" s="5" t="inlineStr">
        <is>
          <t>Extension</t>
        </is>
      </c>
      <c r="C5" s="11" t="inlineStr">
        <is>
          <t>Basic</t>
        </is>
      </c>
      <c r="D5" s="5" t="inlineStr">
        <is>
          <t>This round</t>
        </is>
      </c>
      <c r="E5" s="5" t="inlineStr">
        <is>
          <t>Use the tail morpheme as the start of a new dictionary word; the new letters become a new morpheme. All existing morphemes keep counting. Causes strain.</t>
        </is>
      </c>
      <c r="F5" s="5" t="inlineStr">
        <is>
          <t>Wheel of Fortune 'doo doo doo-doo' sting</t>
        </is>
      </c>
      <c r="G5" s="5" t="n">
        <v>3</v>
      </c>
    </row>
    <row r="6" ht="28" customHeight="1">
      <c r="A6" s="7" t="inlineStr">
        <is>
          <t>Reduplication</t>
        </is>
      </c>
      <c r="B6" s="7" t="inlineStr">
        <is>
          <t>Extension</t>
        </is>
      </c>
      <c r="C6" s="11" t="inlineStr">
        <is>
          <t>Basic</t>
        </is>
      </c>
      <c r="D6" s="7" t="inlineStr">
        <is>
          <t>This round</t>
        </is>
      </c>
      <c r="E6" s="7" t="inlineStr">
        <is>
          <t>Repeat the tail morpheme as a new morpheme (bye → bye-bye). Causes strain.</t>
        </is>
      </c>
      <c r="F6" s="7" t="inlineStr">
        <is>
          <t>Echoing double clap</t>
        </is>
      </c>
      <c r="G6" s="7" t="n">
        <v>3</v>
      </c>
    </row>
    <row r="7" ht="28" customHeight="1">
      <c r="A7" s="5" t="inlineStr">
        <is>
          <t>Hyphen</t>
        </is>
      </c>
      <c r="B7" s="5" t="inlineStr">
        <is>
          <t>Extension</t>
        </is>
      </c>
      <c r="C7" s="11" t="inlineStr">
        <is>
          <t>Basic</t>
        </is>
      </c>
      <c r="D7" s="5" t="inlineStr">
        <is>
          <t>This round</t>
        </is>
      </c>
      <c r="E7" s="5" t="inlineStr">
        <is>
          <t>Append any dictionary word as a new morpheme with no overlap required. Causes double strain.</t>
        </is>
      </c>
      <c r="F7" s="5" t="inlineStr">
        <is>
          <t>Typewriter dash</t>
        </is>
      </c>
      <c r="G7" s="5" t="n">
        <v>3</v>
      </c>
    </row>
    <row r="8" ht="28" customHeight="1">
      <c r="A8" s="7" t="inlineStr">
        <is>
          <t>Blend</t>
        </is>
      </c>
      <c r="B8" s="7" t="inlineStr">
        <is>
          <t>Extension</t>
        </is>
      </c>
      <c r="C8" s="12" t="inlineStr">
        <is>
          <t>Uncommon</t>
        </is>
      </c>
      <c r="D8" s="7" t="inlineStr">
        <is>
          <t>This round</t>
        </is>
      </c>
      <c r="E8" s="7" t="inlineStr">
        <is>
          <t>The new word overlaps the tail letters (not a whole morpheme): lymphatic + ticket → lymphaticket. Causes strain.</t>
        </is>
      </c>
      <c r="F8" s="7" t="inlineStr">
        <is>
          <t>Two tones sliding into one</t>
        </is>
      </c>
      <c r="G8" s="7" t="n">
        <v>5</v>
      </c>
    </row>
    <row r="9">
      <c r="A9" s="5" t="inlineStr">
        <is>
          <t>Rhyme</t>
        </is>
      </c>
      <c r="B9" s="5" t="inlineStr">
        <is>
          <t>Extension</t>
        </is>
      </c>
      <c r="C9" s="12" t="inlineStr">
        <is>
          <t>Uncommon</t>
        </is>
      </c>
      <c r="D9" s="5" t="inlineStr">
        <is>
          <t>This round</t>
        </is>
      </c>
      <c r="E9" s="5" t="inlineStr">
        <is>
          <t>Append a morpheme that rhymes with the tail morpheme. Causes strain.</t>
        </is>
      </c>
      <c r="F9" s="5" t="inlineStr">
        <is>
          <t>Rhyming chime</t>
        </is>
      </c>
      <c r="G9" s="5" t="n">
        <v>5</v>
      </c>
    </row>
    <row r="10" ht="28" customHeight="1">
      <c r="A10" s="7" t="inlineStr">
        <is>
          <t>Anagram</t>
        </is>
      </c>
      <c r="B10" s="7" t="inlineStr">
        <is>
          <t>Extension</t>
        </is>
      </c>
      <c r="C10" s="12" t="inlineStr">
        <is>
          <t>Uncommon</t>
        </is>
      </c>
      <c r="D10" s="7" t="inlineStr">
        <is>
          <t>This round</t>
        </is>
      </c>
      <c r="E10" s="7" t="inlineStr">
        <is>
          <t>Rearrange the tail morpheme's letters into a new dictionary word, then extend it naturally. Causes strain.</t>
        </is>
      </c>
      <c r="F10" s="7" t="inlineStr">
        <is>
          <t>Shuffling tiles</t>
        </is>
      </c>
      <c r="G10" s="7" t="n">
        <v>5</v>
      </c>
    </row>
    <row r="11" ht="28" customHeight="1">
      <c r="A11" s="5" t="inlineStr">
        <is>
          <t>Backformation</t>
        </is>
      </c>
      <c r="B11" s="5" t="inlineStr">
        <is>
          <t>Extension</t>
        </is>
      </c>
      <c r="C11" s="12" t="inlineStr">
        <is>
          <t>Uncommon</t>
        </is>
      </c>
      <c r="D11" s="5" t="inlineStr">
        <is>
          <t>This round</t>
        </is>
      </c>
      <c r="E11" s="5" t="inlineStr">
        <is>
          <t>Remove the tail morpheme, then add two morphemes. Net +1. Causes strain.</t>
        </is>
      </c>
      <c r="F11" s="5" t="inlineStr">
        <is>
          <t>Rewind then two clicks</t>
        </is>
      </c>
      <c r="G11" s="5" t="n">
        <v>5</v>
      </c>
    </row>
    <row r="12">
      <c r="A12" s="7" t="inlineStr">
        <is>
          <t>Echo</t>
        </is>
      </c>
      <c r="B12" s="7" t="inlineStr">
        <is>
          <t>Extension</t>
        </is>
      </c>
      <c r="C12" s="12" t="inlineStr">
        <is>
          <t>Uncommon</t>
        </is>
      </c>
      <c r="D12" s="7" t="inlineStr">
        <is>
          <t>This round</t>
        </is>
      </c>
      <c r="E12" s="7" t="inlineStr">
        <is>
          <t>Copy another held card (becomes a second copy of that card).</t>
        </is>
      </c>
      <c r="F12" s="7" t="inlineStr">
        <is>
          <t>Reverb echo</t>
        </is>
      </c>
      <c r="G12" s="7" t="n">
        <v>5</v>
      </c>
    </row>
    <row r="13" ht="28" customHeight="1">
      <c r="A13" s="5" t="inlineStr">
        <is>
          <t>Infix</t>
        </is>
      </c>
      <c r="B13" s="5" t="inlineStr">
        <is>
          <t>Extension</t>
        </is>
      </c>
      <c r="C13" s="13" t="inlineStr">
        <is>
          <t>Exotic</t>
        </is>
      </c>
      <c r="D13" s="5" t="inlineStr">
        <is>
          <t>This round</t>
        </is>
      </c>
      <c r="E13" s="5" t="inlineStr">
        <is>
          <t>Insert a whole dictionary word between two existing morphemes. Causes strain.</t>
        </is>
      </c>
      <c r="F13" s="5" t="inlineStr">
        <is>
          <t>Zipper opening</t>
        </is>
      </c>
      <c r="G13" s="5" t="n">
        <v>8</v>
      </c>
    </row>
    <row r="14" ht="28" customHeight="1">
      <c r="A14" s="7" t="inlineStr">
        <is>
          <t>Homophone</t>
        </is>
      </c>
      <c r="B14" s="7" t="inlineStr">
        <is>
          <t>Extension</t>
        </is>
      </c>
      <c r="C14" s="13" t="inlineStr">
        <is>
          <t>Exotic</t>
        </is>
      </c>
      <c r="D14" s="7" t="inlineStr">
        <is>
          <t>This round</t>
        </is>
      </c>
      <c r="E14" s="7" t="inlineStr">
        <is>
          <t>Respell the tail morpheme as a homophone (their → there), then extend it. Causes strain.</t>
        </is>
      </c>
      <c r="F14" s="7" t="inlineStr">
        <is>
          <t>Same note, two instruments</t>
        </is>
      </c>
      <c r="G14" s="7" t="n">
        <v>8</v>
      </c>
    </row>
    <row r="15">
      <c r="A15" s="5" t="inlineStr">
        <is>
          <t>Free Morpheme</t>
        </is>
      </c>
      <c r="B15" s="5" t="inlineStr">
        <is>
          <t>Extension</t>
        </is>
      </c>
      <c r="C15" s="13" t="inlineStr">
        <is>
          <t>Exotic</t>
        </is>
      </c>
      <c r="D15" s="5" t="inlineStr">
        <is>
          <t>This round</t>
        </is>
      </c>
      <c r="E15" s="5" t="inlineStr">
        <is>
          <t>Add any letters as a new morpheme with no dictionary check. Causes strain.</t>
        </is>
      </c>
      <c r="F15" s="5" t="inlineStr">
        <is>
          <t>Freedom chord</t>
        </is>
      </c>
      <c r="G15" s="5" t="n">
        <v>8</v>
      </c>
    </row>
    <row r="16">
      <c r="A16" s="7" t="inlineStr">
        <is>
          <t>Before &amp; After Deluxe</t>
        </is>
      </c>
      <c r="B16" s="7" t="inlineStr">
        <is>
          <t>Extension</t>
        </is>
      </c>
      <c r="C16" s="14" t="inlineStr">
        <is>
          <t>Relic</t>
        </is>
      </c>
      <c r="D16" s="7" t="inlineStr">
        <is>
          <t>Rest of run</t>
        </is>
      </c>
      <c r="E16" s="7" t="inlineStr">
        <is>
          <t>Once per round, a Before &amp; After with no strain.</t>
        </is>
      </c>
      <c r="F16" s="7" t="inlineStr">
        <is>
          <t>Full Wheel of Fortune jingle</t>
        </is>
      </c>
      <c r="G16" s="7" t="n">
        <v>12</v>
      </c>
    </row>
    <row r="17">
      <c r="A17" s="5" t="inlineStr">
        <is>
          <t>Vowel Shift</t>
        </is>
      </c>
      <c r="B17" s="5" t="inlineStr">
        <is>
          <t>Sound Shift</t>
        </is>
      </c>
      <c r="C17" s="11" t="inlineStr">
        <is>
          <t>Basic</t>
        </is>
      </c>
      <c r="D17" s="5" t="inlineStr">
        <is>
          <t>This round</t>
        </is>
      </c>
      <c r="E17" s="5" t="inlineStr">
        <is>
          <t>Change a chosen vowel in the word to a random other vowel.</t>
        </is>
      </c>
      <c r="F17" s="5" t="inlineStr">
        <is>
          <t>Pitch bend up</t>
        </is>
      </c>
      <c r="G17" s="5" t="n">
        <v>3</v>
      </c>
    </row>
    <row r="18">
      <c r="A18" s="7" t="inlineStr">
        <is>
          <t>Glide</t>
        </is>
      </c>
      <c r="B18" s="7" t="inlineStr">
        <is>
          <t>Sound Shift</t>
        </is>
      </c>
      <c r="C18" s="11" t="inlineStr">
        <is>
          <t>Basic</t>
        </is>
      </c>
      <c r="D18" s="7" t="inlineStr">
        <is>
          <t>This round</t>
        </is>
      </c>
      <c r="E18" s="7" t="inlineStr">
        <is>
          <t>Change a chosen vowel to Y.</t>
        </is>
      </c>
      <c r="F18" s="7" t="inlineStr">
        <is>
          <t>Slide whistle</t>
        </is>
      </c>
      <c r="G18" s="7" t="n">
        <v>3</v>
      </c>
    </row>
    <row r="19">
      <c r="A19" s="5" t="inlineStr">
        <is>
          <t>Lenition</t>
        </is>
      </c>
      <c r="B19" s="5" t="inlineStr">
        <is>
          <t>Sound Shift</t>
        </is>
      </c>
      <c r="C19" s="11" t="inlineStr">
        <is>
          <t>Basic</t>
        </is>
      </c>
      <c r="D19" s="5" t="inlineStr">
        <is>
          <t>This round</t>
        </is>
      </c>
      <c r="E19" s="5" t="inlineStr">
        <is>
          <t>Change a chosen consonant to one with a lower base value.</t>
        </is>
      </c>
      <c r="F19" s="5" t="inlineStr">
        <is>
          <t>Softening thud</t>
        </is>
      </c>
      <c r="G19" s="5" t="n">
        <v>3</v>
      </c>
    </row>
    <row r="20">
      <c r="A20" s="7" t="inlineStr">
        <is>
          <t>Elision</t>
        </is>
      </c>
      <c r="B20" s="7" t="inlineStr">
        <is>
          <t>Sound Shift</t>
        </is>
      </c>
      <c r="C20" s="12" t="inlineStr">
        <is>
          <t>Uncommon</t>
        </is>
      </c>
      <c r="D20" s="7" t="inlineStr">
        <is>
          <t>This round</t>
        </is>
      </c>
      <c r="E20" s="7" t="inlineStr">
        <is>
          <t>Delete one letter from the word.</t>
        </is>
      </c>
      <c r="F20" s="7" t="inlineStr">
        <is>
          <t>Pop</t>
        </is>
      </c>
      <c r="G20" s="7" t="n">
        <v>5</v>
      </c>
    </row>
    <row r="21">
      <c r="A21" s="5" t="inlineStr">
        <is>
          <t>Metathesis</t>
        </is>
      </c>
      <c r="B21" s="5" t="inlineStr">
        <is>
          <t>Sound Shift</t>
        </is>
      </c>
      <c r="C21" s="12" t="inlineStr">
        <is>
          <t>Uncommon</t>
        </is>
      </c>
      <c r="D21" s="5" t="inlineStr">
        <is>
          <t>This round</t>
        </is>
      </c>
      <c r="E21" s="5" t="inlineStr">
        <is>
          <t>Swap two adjacent letters in the word.</t>
        </is>
      </c>
      <c r="F21" s="5" t="inlineStr">
        <is>
          <t>Two-tone swap</t>
        </is>
      </c>
      <c r="G21" s="5" t="n">
        <v>5</v>
      </c>
    </row>
    <row r="22">
      <c r="A22" s="7" t="inlineStr">
        <is>
          <t>Fortition</t>
        </is>
      </c>
      <c r="B22" s="7" t="inlineStr">
        <is>
          <t>Sound Shift</t>
        </is>
      </c>
      <c r="C22" s="12" t="inlineStr">
        <is>
          <t>Uncommon</t>
        </is>
      </c>
      <c r="D22" s="7" t="inlineStr">
        <is>
          <t>This round</t>
        </is>
      </c>
      <c r="E22" s="7" t="inlineStr">
        <is>
          <t>Change a chosen consonant to one with a higher base value.</t>
        </is>
      </c>
      <c r="F22" s="7" t="inlineStr">
        <is>
          <t>Hardening clank</t>
        </is>
      </c>
      <c r="G22" s="7" t="n">
        <v>5</v>
      </c>
    </row>
    <row r="23" ht="28" customHeight="1">
      <c r="A23" s="5" t="inlineStr">
        <is>
          <t>Weight Swap</t>
        </is>
      </c>
      <c r="B23" s="5" t="inlineStr">
        <is>
          <t>Sound Shift</t>
        </is>
      </c>
      <c r="C23" s="12" t="inlineStr">
        <is>
          <t>Uncommon</t>
        </is>
      </c>
      <c r="D23" s="5" t="inlineStr">
        <is>
          <t>This round</t>
        </is>
      </c>
      <c r="E23" s="5" t="inlineStr">
        <is>
          <t>Swap all letters of a chosen base value for random letters of the same base value.</t>
        </is>
      </c>
      <c r="F23" s="5" t="inlineStr">
        <is>
          <t>Scale tipping</t>
        </is>
      </c>
      <c r="G23" s="5" t="n">
        <v>5</v>
      </c>
    </row>
    <row r="24">
      <c r="A24" s="7" t="inlineStr">
        <is>
          <t>Gemination</t>
        </is>
      </c>
      <c r="B24" s="7" t="inlineStr">
        <is>
          <t>Sound Shift</t>
        </is>
      </c>
      <c r="C24" s="13" t="inlineStr">
        <is>
          <t>Exotic</t>
        </is>
      </c>
      <c r="D24" s="7" t="inlineStr">
        <is>
          <t>This round</t>
        </is>
      </c>
      <c r="E24" s="7" t="inlineStr">
        <is>
          <t>Double a chosen letter in the word (it scores twice).</t>
        </is>
      </c>
      <c r="F24" s="7" t="inlineStr">
        <is>
          <t>Stutter drum</t>
        </is>
      </c>
      <c r="G24" s="7" t="n">
        <v>8</v>
      </c>
    </row>
    <row r="25">
      <c r="A25" s="5" t="inlineStr">
        <is>
          <t>Great Vowel Shift</t>
        </is>
      </c>
      <c r="B25" s="5" t="inlineStr">
        <is>
          <t>Sound Shift</t>
        </is>
      </c>
      <c r="C25" s="13" t="inlineStr">
        <is>
          <t>Exotic</t>
        </is>
      </c>
      <c r="D25" s="5" t="inlineStr">
        <is>
          <t>This round</t>
        </is>
      </c>
      <c r="E25" s="5" t="inlineStr">
        <is>
          <t>Rotate every vowel in the word (A→E→I→O→U→A).</t>
        </is>
      </c>
      <c r="F25" s="5" t="inlineStr">
        <is>
          <t>Rising arpeggio</t>
        </is>
      </c>
      <c r="G25" s="5" t="n">
        <v>8</v>
      </c>
    </row>
    <row r="26">
      <c r="A26" s="7" t="inlineStr">
        <is>
          <t>Ablaut</t>
        </is>
      </c>
      <c r="B26" s="7" t="inlineStr">
        <is>
          <t>Sound Shift</t>
        </is>
      </c>
      <c r="C26" s="14" t="inlineStr">
        <is>
          <t>Relic</t>
        </is>
      </c>
      <c r="D26" s="7" t="inlineStr">
        <is>
          <t>Rest of run</t>
        </is>
      </c>
      <c r="E26" s="7" t="inlineStr">
        <is>
          <t>Once per round, change one vowel for free.</t>
        </is>
      </c>
      <c r="F26" s="7" t="inlineStr">
        <is>
          <t>Sustained organ note</t>
        </is>
      </c>
      <c r="G26" s="7" t="n">
        <v>12</v>
      </c>
    </row>
    <row r="27">
      <c r="A27" s="5" t="inlineStr">
        <is>
          <t>Loanword</t>
        </is>
      </c>
      <c r="B27" s="5" t="inlineStr">
        <is>
          <t>Loanword</t>
        </is>
      </c>
      <c r="C27" s="11" t="inlineStr">
        <is>
          <t>Basic</t>
        </is>
      </c>
      <c r="D27" s="5" t="inlineStr">
        <is>
          <t>Rest of run</t>
        </is>
      </c>
      <c r="E27" s="5" t="inlineStr">
        <is>
          <t>Add 1 tile of a chosen letter to the pool.</t>
        </is>
      </c>
      <c r="F27" s="5" t="inlineStr">
        <is>
          <t>Foreign-language 'hello' snippet</t>
        </is>
      </c>
      <c r="G27" s="5" t="n">
        <v>3</v>
      </c>
    </row>
    <row r="28">
      <c r="A28" s="7" t="inlineStr">
        <is>
          <t>Simplification</t>
        </is>
      </c>
      <c r="B28" s="7" t="inlineStr">
        <is>
          <t>Loanword</t>
        </is>
      </c>
      <c r="C28" s="11" t="inlineStr">
        <is>
          <t>Basic</t>
        </is>
      </c>
      <c r="D28" s="7" t="inlineStr">
        <is>
          <t>Rest of run</t>
        </is>
      </c>
      <c r="E28" s="7" t="inlineStr">
        <is>
          <t>Remove 3 tiles of base value 1 from the pool.</t>
        </is>
      </c>
      <c r="F28" s="7" t="inlineStr">
        <is>
          <t>Sweeping broom</t>
        </is>
      </c>
      <c r="G28" s="7" t="n">
        <v>3</v>
      </c>
    </row>
    <row r="29">
      <c r="A29" s="5" t="inlineStr">
        <is>
          <t>Redraw</t>
        </is>
      </c>
      <c r="B29" s="5" t="inlineStr">
        <is>
          <t>Loanword</t>
        </is>
      </c>
      <c r="C29" s="11" t="inlineStr">
        <is>
          <t>Basic</t>
        </is>
      </c>
      <c r="D29" s="5" t="inlineStr">
        <is>
          <t>This round</t>
        </is>
      </c>
      <c r="E29" s="5" t="inlineStr">
        <is>
          <t>Redraw the hand once.</t>
        </is>
      </c>
      <c r="F29" s="5" t="inlineStr">
        <is>
          <t>Card shuffle</t>
        </is>
      </c>
      <c r="G29" s="5" t="n">
        <v>3</v>
      </c>
    </row>
    <row r="30">
      <c r="A30" s="7" t="inlineStr">
        <is>
          <t>Borrowing</t>
        </is>
      </c>
      <c r="B30" s="7" t="inlineStr">
        <is>
          <t>Loanword</t>
        </is>
      </c>
      <c r="C30" s="12" t="inlineStr">
        <is>
          <t>Uncommon</t>
        </is>
      </c>
      <c r="D30" s="7" t="inlineStr">
        <is>
          <t>Rest of run</t>
        </is>
      </c>
      <c r="E30" s="7" t="inlineStr">
        <is>
          <t>Add 3 random tiles of base value ≥ 4 to the pool.</t>
        </is>
      </c>
      <c r="F30" s="7" t="inlineStr">
        <is>
          <t>Coins dropping</t>
        </is>
      </c>
      <c r="G30" s="7" t="n">
        <v>5</v>
      </c>
    </row>
    <row r="31">
      <c r="A31" s="5" t="inlineStr">
        <is>
          <t>Purism</t>
        </is>
      </c>
      <c r="B31" s="5" t="inlineStr">
        <is>
          <t>Loanword</t>
        </is>
      </c>
      <c r="C31" s="12" t="inlineStr">
        <is>
          <t>Uncommon</t>
        </is>
      </c>
      <c r="D31" s="5" t="inlineStr">
        <is>
          <t>Rest of run</t>
        </is>
      </c>
      <c r="E31" s="5" t="inlineStr">
        <is>
          <t>Remove all tiles of a chosen letter from the pool.</t>
        </is>
      </c>
      <c r="F31" s="5" t="inlineStr">
        <is>
          <t>Eraser squeak</t>
        </is>
      </c>
      <c r="G31" s="5" t="n">
        <v>5</v>
      </c>
    </row>
    <row r="32">
      <c r="A32" s="7" t="inlineStr">
        <is>
          <t>Tile Smith</t>
        </is>
      </c>
      <c r="B32" s="7" t="inlineStr">
        <is>
          <t>Loanword</t>
        </is>
      </c>
      <c r="C32" s="12" t="inlineStr">
        <is>
          <t>Uncommon</t>
        </is>
      </c>
      <c r="D32" s="7" t="inlineStr">
        <is>
          <t>Rest of run</t>
        </is>
      </c>
      <c r="E32" s="7" t="inlineStr">
        <is>
          <t>Apply a Level 1 or 2 tile modifier to a tile in hand for the rest of the run.</t>
        </is>
      </c>
      <c r="F32" s="7" t="inlineStr">
        <is>
          <t>Hammer on anvil</t>
        </is>
      </c>
      <c r="G32" s="7" t="n">
        <v>5</v>
      </c>
    </row>
    <row r="33">
      <c r="A33" s="5" t="inlineStr">
        <is>
          <t>Dialect</t>
        </is>
      </c>
      <c r="B33" s="5" t="inlineStr">
        <is>
          <t>Loanword</t>
        </is>
      </c>
      <c r="C33" s="13" t="inlineStr">
        <is>
          <t>Exotic</t>
        </is>
      </c>
      <c r="D33" s="5" t="inlineStr">
        <is>
          <t>Rest of run</t>
        </is>
      </c>
      <c r="E33" s="5" t="inlineStr">
        <is>
          <t>Duplicate one tile in hand into the pool, with its current modifiers.</t>
        </is>
      </c>
      <c r="F33" s="5" t="inlineStr">
        <is>
          <t>Two voices in harmony</t>
        </is>
      </c>
      <c r="G33" s="5" t="n">
        <v>8</v>
      </c>
    </row>
    <row r="34">
      <c r="A34" s="7" t="inlineStr">
        <is>
          <t>Substrate</t>
        </is>
      </c>
      <c r="B34" s="7" t="inlineStr">
        <is>
          <t>Loanword</t>
        </is>
      </c>
      <c r="C34" s="13" t="inlineStr">
        <is>
          <t>Exotic</t>
        </is>
      </c>
      <c r="D34" s="7" t="inlineStr">
        <is>
          <t>Rest of run</t>
        </is>
      </c>
      <c r="E34" s="7" t="inlineStr">
        <is>
          <t>Hand size +1.</t>
        </is>
      </c>
      <c r="F34" s="7" t="inlineStr">
        <is>
          <t>Bass note</t>
        </is>
      </c>
      <c r="G34" s="7" t="n">
        <v>8</v>
      </c>
    </row>
    <row r="35" ht="28" customHeight="1">
      <c r="A35" s="5" t="inlineStr">
        <is>
          <t>Restock</t>
        </is>
      </c>
      <c r="B35" s="5" t="inlineStr">
        <is>
          <t>Loanword</t>
        </is>
      </c>
      <c r="C35" s="14" t="inlineStr">
        <is>
          <t>Relic</t>
        </is>
      </c>
      <c r="D35" s="5" t="inlineStr">
        <is>
          <t>Rest of run</t>
        </is>
      </c>
      <c r="E35" s="5" t="inlineStr">
        <is>
          <t>Return all committed word tiles to the pool as copies (the word keeps its tiles).</t>
        </is>
      </c>
      <c r="F35" s="5" t="inlineStr">
        <is>
          <t>Cash register</t>
        </is>
      </c>
      <c r="G35" s="5" t="n">
        <v>12</v>
      </c>
    </row>
    <row r="36">
      <c r="A36" s="7" t="inlineStr">
        <is>
          <t>Lexicographer</t>
        </is>
      </c>
      <c r="B36" s="7" t="inlineStr">
        <is>
          <t>Utility</t>
        </is>
      </c>
      <c r="C36" s="11" t="inlineStr">
        <is>
          <t>Basic</t>
        </is>
      </c>
      <c r="D36" s="7" t="inlineStr">
        <is>
          <t>This round</t>
        </is>
      </c>
      <c r="E36" s="7" t="inlineStr">
        <is>
          <t>Reveal the next Boss Round's modifier and the next round's threshold.</t>
        </is>
      </c>
      <c r="F36" s="7" t="inlineStr">
        <is>
          <t>Page turn</t>
        </is>
      </c>
      <c r="G36" s="7" t="n">
        <v>3</v>
      </c>
    </row>
    <row r="37">
      <c r="A37" s="5" t="inlineStr">
        <is>
          <t>Etymology</t>
        </is>
      </c>
      <c r="B37" s="5" t="inlineStr">
        <is>
          <t>Utility</t>
        </is>
      </c>
      <c r="C37" s="11" t="inlineStr">
        <is>
          <t>Basic</t>
        </is>
      </c>
      <c r="D37" s="5" t="inlineStr">
        <is>
          <t>This round</t>
        </is>
      </c>
      <c r="E37" s="5" t="inlineStr">
        <is>
          <t>Reroll the shop for free.</t>
        </is>
      </c>
      <c r="F37" s="5" t="inlineStr">
        <is>
          <t>Dice roll</t>
        </is>
      </c>
      <c r="G37" s="5" t="n">
        <v>3</v>
      </c>
    </row>
    <row r="38">
      <c r="A38" s="7" t="inlineStr">
        <is>
          <t>Bank</t>
        </is>
      </c>
      <c r="B38" s="7" t="inlineStr">
        <is>
          <t>Utility</t>
        </is>
      </c>
      <c r="C38" s="11" t="inlineStr">
        <is>
          <t>Basic</t>
        </is>
      </c>
      <c r="D38" s="7" t="inlineStr">
        <is>
          <t>This round</t>
        </is>
      </c>
      <c r="E38" s="7" t="inlineStr">
        <is>
          <t>Currency earned this round is doubled.</t>
        </is>
      </c>
      <c r="F38" s="7" t="inlineStr">
        <is>
          <t>Coin cascade</t>
        </is>
      </c>
      <c r="G38" s="7" t="n">
        <v>3</v>
      </c>
    </row>
    <row r="39">
      <c r="A39" s="5" t="inlineStr">
        <is>
          <t>Amendment</t>
        </is>
      </c>
      <c r="B39" s="5" t="inlineStr">
        <is>
          <t>Utility</t>
        </is>
      </c>
      <c r="C39" s="12" t="inlineStr">
        <is>
          <t>Uncommon</t>
        </is>
      </c>
      <c r="D39" s="5" t="inlineStr">
        <is>
          <t>This round</t>
        </is>
      </c>
      <c r="E39" s="5" t="inlineStr">
        <is>
          <t>Reroll the current Boss Round's negative modifier.</t>
        </is>
      </c>
      <c r="F39" s="5" t="inlineStr">
        <is>
          <t>Gavel</t>
        </is>
      </c>
      <c r="G39" s="5" t="n">
        <v>5</v>
      </c>
    </row>
    <row r="40">
      <c r="A40" s="7" t="inlineStr">
        <is>
          <t>Insurance</t>
        </is>
      </c>
      <c r="B40" s="7" t="inlineStr">
        <is>
          <t>Utility</t>
        </is>
      </c>
      <c r="C40" s="12" t="inlineStr">
        <is>
          <t>Uncommon</t>
        </is>
      </c>
      <c r="D40" s="7" t="inlineStr">
        <is>
          <t>This round</t>
        </is>
      </c>
      <c r="E40" s="7" t="inlineStr">
        <is>
          <t>If the threshold is failed this round, no life is lost (but no shop).</t>
        </is>
      </c>
      <c r="F40" s="7" t="inlineStr">
        <is>
          <t>Safety click</t>
        </is>
      </c>
      <c r="G40" s="7" t="n">
        <v>5</v>
      </c>
    </row>
    <row r="41" ht="28" customHeight="1">
      <c r="A41" s="5" t="inlineStr">
        <is>
          <t>Milestone</t>
        </is>
      </c>
      <c r="B41" s="5" t="inlineStr">
        <is>
          <t>Utility</t>
        </is>
      </c>
      <c r="C41" s="12" t="inlineStr">
        <is>
          <t>Uncommon</t>
        </is>
      </c>
      <c r="D41" s="5" t="inlineStr">
        <is>
          <t>This round</t>
        </is>
      </c>
      <c r="E41" s="5" t="inlineStr">
        <is>
          <t>Set a criterion for this round (e.g. extend by 2). If met, the next shop offers an in-run modifier slot.</t>
        </is>
      </c>
      <c r="F41" s="5" t="inlineStr">
        <is>
          <t>Flag planting</t>
        </is>
      </c>
      <c r="G41" s="5" t="n">
        <v>5</v>
      </c>
    </row>
    <row r="42">
      <c r="A42" s="7" t="inlineStr">
        <is>
          <t>Tempo</t>
        </is>
      </c>
      <c r="B42" s="7" t="inlineStr">
        <is>
          <t>Utility</t>
        </is>
      </c>
      <c r="C42" s="12" t="inlineStr">
        <is>
          <t>Uncommon</t>
        </is>
      </c>
      <c r="D42" s="7" t="inlineStr">
        <is>
          <t>This round</t>
        </is>
      </c>
      <c r="E42" s="7" t="inlineStr">
        <is>
          <t>Next Boss Round: timer +20%.</t>
        </is>
      </c>
      <c r="F42" s="7" t="inlineStr">
        <is>
          <t>Metronome</t>
        </is>
      </c>
      <c r="G42" s="7" t="n">
        <v>5</v>
      </c>
    </row>
    <row r="43">
      <c r="A43" s="5" t="inlineStr">
        <is>
          <t>Preview</t>
        </is>
      </c>
      <c r="B43" s="5" t="inlineStr">
        <is>
          <t>Utility</t>
        </is>
      </c>
      <c r="C43" s="13" t="inlineStr">
        <is>
          <t>Exotic</t>
        </is>
      </c>
      <c r="D43" s="5" t="inlineStr">
        <is>
          <t>This round</t>
        </is>
      </c>
      <c r="E43" s="5" t="inlineStr">
        <is>
          <t>Next Boss Round: see the first 10 feed tiles now and reorder the first 3.</t>
        </is>
      </c>
      <c r="F43" s="5" t="inlineStr">
        <is>
          <t>Film projector</t>
        </is>
      </c>
      <c r="G43" s="5" t="n">
        <v>8</v>
      </c>
    </row>
    <row r="44">
      <c r="A44" s="7" t="inlineStr">
        <is>
          <t>Wildcard Round</t>
        </is>
      </c>
      <c r="B44" s="7" t="inlineStr">
        <is>
          <t>Utility</t>
        </is>
      </c>
      <c r="C44" s="13" t="inlineStr">
        <is>
          <t>Exotic</t>
        </is>
      </c>
      <c r="D44" s="7" t="inlineStr">
        <is>
          <t>This round</t>
        </is>
      </c>
      <c r="E44" s="7" t="inlineStr">
        <is>
          <t>Extension bonuses this round are doubled.</t>
        </is>
      </c>
      <c r="F44" s="7" t="inlineStr">
        <is>
          <t>Fanfare</t>
        </is>
      </c>
      <c r="G44" s="7" t="n">
        <v>8</v>
      </c>
    </row>
    <row r="45">
      <c r="A45" s="5" t="inlineStr">
        <is>
          <t>Second Wind</t>
        </is>
      </c>
      <c r="B45" s="5" t="inlineStr">
        <is>
          <t>Utility</t>
        </is>
      </c>
      <c r="C45" s="14" t="inlineStr">
        <is>
          <t>Relic</t>
        </is>
      </c>
      <c r="D45" s="5" t="inlineStr">
        <is>
          <t>This round</t>
        </is>
      </c>
      <c r="E45" s="5" t="inlineStr">
        <is>
          <t>Regain a lost life.</t>
        </is>
      </c>
      <c r="F45" s="5" t="inlineStr">
        <is>
          <t>Deep breath</t>
        </is>
      </c>
      <c r="G45" s="5" t="n">
        <v>12</v>
      </c>
    </row>
    <row r="47" ht="117" customHeight="1">
      <c r="A47" s="10" t="inlineStr">
        <is>
          <t>Shop price defaults by rarity (Basic 3, Uncommon 5, Exotic 8, Relic 12) — see Shops tab. Proposal: per-type hand limits (Sound Shift 3, Extension 3, Loanword 3, Utility 2) shown as slots in the quadrant panel.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5"/>
  <sheetViews>
    <sheetView showGridLines="0" workbookViewId="0">
      <selection activeCell="A1" sqref="A1"/>
    </sheetView>
  </sheetViews>
  <sheetFormatPr baseColWidth="10" defaultColWidth="8.83203125" defaultRowHeight="15"/>
  <cols>
    <col width="24" customWidth="1" min="1" max="1"/>
    <col width="56" customWidth="1" min="2" max="2"/>
    <col width="40" customWidth="1" min="3" max="3"/>
    <col width="16" customWidth="1" min="4" max="4"/>
  </cols>
  <sheetData>
    <row r="1" ht="18" customHeight="1">
      <c r="A1" s="1" t="inlineStr">
        <is>
          <t>Economy</t>
        </is>
      </c>
    </row>
    <row r="2">
      <c r="A2" s="2" t="inlineStr">
        <is>
          <t>How currency is earned and how each source scales. Values are illustrative starting points (blue = editable).</t>
        </is>
      </c>
    </row>
    <row r="4" ht="16" customHeight="1">
      <c r="A4" s="3" t="inlineStr">
        <is>
          <t>Earning sources</t>
        </is>
      </c>
    </row>
    <row r="5">
      <c r="A5" s="4" t="inlineStr">
        <is>
          <t>Source</t>
        </is>
      </c>
      <c r="B5" s="4" t="inlineStr">
        <is>
          <t>How it works</t>
        </is>
      </c>
      <c r="C5" s="4" t="inlineStr">
        <is>
          <t>Scaling / interactions</t>
        </is>
      </c>
      <c r="D5" s="4" t="inlineStr">
        <is>
          <t>Base value</t>
        </is>
      </c>
    </row>
    <row r="6">
      <c r="A6" s="5" t="inlineStr">
        <is>
          <t>Round clear</t>
        </is>
      </c>
      <c r="B6" s="5" t="inlineStr">
        <is>
          <t>Flat amount for beating a regular round threshold.</t>
        </is>
      </c>
      <c r="C6" s="5" t="inlineStr">
        <is>
          <t>Scales with Treasury L1 (+1).</t>
        </is>
      </c>
      <c r="D6" s="6" t="n">
        <v>3</v>
      </c>
    </row>
    <row r="7">
      <c r="A7" s="7" t="inlineStr">
        <is>
          <t>Margin bonus</t>
        </is>
      </c>
      <c r="B7" s="7" t="inlineStr">
        <is>
          <t>+1 per 25% the threshold is beaten by, capped.</t>
        </is>
      </c>
      <c r="C7" s="7" t="inlineStr">
        <is>
          <t>Cap 4 (proposal).</t>
        </is>
      </c>
      <c r="D7" s="8" t="n">
        <v>1</v>
      </c>
    </row>
    <row r="8" ht="28" customHeight="1">
      <c r="A8" s="5" t="inlineStr">
        <is>
          <t>Natural streak</t>
        </is>
      </c>
      <c r="B8" s="5" t="inlineStr">
        <is>
          <t>+1 per consecutive round extended without an extension card, capped.</t>
        </is>
      </c>
      <c r="C8" s="5" t="inlineStr">
        <is>
          <t>Cap 5; Treasury L2 doubles; broken by strain unless Streak Keeper / Clemency L2.</t>
        </is>
      </c>
      <c r="D8" s="6" t="n">
        <v>1</v>
      </c>
    </row>
    <row r="9" ht="28" customHeight="1">
      <c r="A9" s="7" t="inlineStr">
        <is>
          <t>Natural word dividend</t>
        </is>
      </c>
      <c r="B9" s="7" t="inlineStr">
        <is>
          <t>If the whole word is a real dictionary word with 4+ morphemes: bonus that grows with each morpheme.</t>
        </is>
      </c>
      <c r="C9" s="7" t="inlineStr">
        <is>
          <t>See scaling table below. Treasury L4 doubles.</t>
        </is>
      </c>
      <c r="D9" s="8" t="n"/>
    </row>
    <row r="10" ht="28" customHeight="1">
      <c r="A10" s="5" t="inlineStr">
        <is>
          <t>Tile modifiers</t>
        </is>
      </c>
      <c r="B10" s="5" t="inlineStr">
        <is>
          <t>Gilded: +1 per round the tile is in the word. Trade: +1 refund when drawn and unplayed.</t>
        </is>
      </c>
      <c r="C10" s="5" t="inlineStr">
        <is>
          <t>Scales with number of modified tiles in the word.</t>
        </is>
      </c>
      <c r="D10" s="6" t="n"/>
    </row>
    <row r="11" ht="42" customHeight="1">
      <c r="A11" s="7" t="inlineStr">
        <is>
          <t>In-run payouts</t>
        </is>
      </c>
      <c r="B11" s="7" t="inlineStr">
        <is>
          <t>Coinage: +1 per morpheme per round. Boss Bounty: +2 per boss word. Others based on morpheme/tile patterns (e.g. +2 per prefix morpheme, +3 when a Level 4 tile is played).</t>
        </is>
      </c>
      <c r="C11" s="7" t="inlineStr">
        <is>
          <t>Chosen from boss rewards.</t>
        </is>
      </c>
      <c r="D11" s="8" t="n"/>
    </row>
    <row r="12">
      <c r="A12" s="5" t="inlineStr">
        <is>
          <t>Boss clear</t>
        </is>
      </c>
      <c r="B12" s="5" t="inlineStr">
        <is>
          <t>Flat bonus for beating a Boss Round, rising per boss.</t>
        </is>
      </c>
      <c r="C12" s="5" t="inlineStr">
        <is>
          <t>B1 5 → B6 15 (proposal).</t>
        </is>
      </c>
      <c r="D12" s="6" t="n">
        <v>5</v>
      </c>
    </row>
    <row r="13" ht="28" customHeight="1">
      <c r="A13" s="7" t="inlineStr">
        <is>
          <t>Extension bonus payout</t>
        </is>
      </c>
      <c r="B13" s="7" t="inlineStr">
        <is>
          <t>+1 currency per extra morpheme beyond the first in a round.</t>
        </is>
      </c>
      <c r="C13" s="7" t="inlineStr">
        <is>
          <t>Rewards multi-step rounds in economy as well as score.</t>
        </is>
      </c>
      <c r="D13" s="8" t="n">
        <v>1</v>
      </c>
    </row>
    <row r="14">
      <c r="A14" s="5" t="inlineStr">
        <is>
          <t>Card sale</t>
        </is>
      </c>
      <c r="B14" s="5" t="inlineStr">
        <is>
          <t>Sell a held card back at half price.</t>
        </is>
      </c>
      <c r="C14" s="5" t="inlineStr">
        <is>
          <t>Sink relief; lets players cycle cards.</t>
        </is>
      </c>
      <c r="D14" s="6" t="n"/>
    </row>
    <row r="16" ht="16" customHeight="1">
      <c r="A16" s="3" t="inlineStr">
        <is>
          <t>Natural word dividend scaling (whole word is a real word)</t>
        </is>
      </c>
    </row>
    <row r="17">
      <c r="A17" s="4" t="inlineStr">
        <is>
          <t>Morphemes</t>
        </is>
      </c>
      <c r="B17" s="4" t="inlineStr">
        <is>
          <t>Dividend</t>
        </is>
      </c>
      <c r="C17" s="4" t="inlineStr">
        <is>
          <t>Notes</t>
        </is>
      </c>
      <c r="D17" s="4" t="n"/>
    </row>
    <row r="18">
      <c r="A18" s="5" t="n">
        <v>4</v>
      </c>
      <c r="B18" s="6" t="n">
        <v>2</v>
      </c>
      <c r="C18" s="5" t="inlineStr">
        <is>
          <t>Starts at 4 morphemes.</t>
        </is>
      </c>
      <c r="D18" s="5" t="n"/>
    </row>
    <row r="19">
      <c r="A19" s="7" t="n">
        <v>5</v>
      </c>
      <c r="B19" s="8" t="n">
        <v>3</v>
      </c>
      <c r="C19" s="7" t="n"/>
      <c r="D19" s="7" t="n"/>
    </row>
    <row r="20">
      <c r="A20" s="5" t="n">
        <v>6</v>
      </c>
      <c r="B20" s="6" t="n">
        <v>5</v>
      </c>
      <c r="C20" s="5" t="n"/>
      <c r="D20" s="5" t="n"/>
    </row>
    <row r="21">
      <c r="A21" s="7" t="n">
        <v>7</v>
      </c>
      <c r="B21" s="8" t="n">
        <v>8</v>
      </c>
      <c r="C21" s="7" t="n"/>
      <c r="D21" s="7" t="n"/>
    </row>
    <row r="22" ht="28" customHeight="1">
      <c r="A22" s="5" t="n">
        <v>8</v>
      </c>
      <c r="B22" s="6" t="n">
        <v>12</v>
      </c>
      <c r="C22" s="5" t="inlineStr">
        <is>
          <t>Real English words rarely exceed 7–8 morphemes, so this is a stretch reward.</t>
        </is>
      </c>
      <c r="D22" s="5" t="n"/>
    </row>
    <row r="23">
      <c r="A23" s="7" t="inlineStr">
        <is>
          <t>9+</t>
        </is>
      </c>
      <c r="B23" s="8" t="n">
        <v>17</v>
      </c>
      <c r="C23" s="7" t="inlineStr">
        <is>
          <t>+5 per morpheme beyond 8.</t>
        </is>
      </c>
      <c r="D23" s="7" t="n"/>
    </row>
    <row r="25" ht="16" customHeight="1">
      <c r="A25" s="3" t="inlineStr">
        <is>
          <t>Sinks</t>
        </is>
      </c>
    </row>
    <row r="26">
      <c r="A26" s="4" t="inlineStr">
        <is>
          <t>Sink</t>
        </is>
      </c>
      <c r="B26" s="4" t="inlineStr">
        <is>
          <t>Cost</t>
        </is>
      </c>
      <c r="C26" s="4" t="inlineStr">
        <is>
          <t>Notes</t>
        </is>
      </c>
      <c r="D26" s="4" t="n"/>
    </row>
    <row r="27">
      <c r="A27" s="5" t="inlineStr">
        <is>
          <t>Cards</t>
        </is>
      </c>
      <c r="B27" s="5" t="inlineStr">
        <is>
          <t>By rarity: 3 / 5 / 8 / 12</t>
        </is>
      </c>
      <c r="C27" s="5" t="inlineStr">
        <is>
          <t>See Shops tab.</t>
        </is>
      </c>
      <c r="D27" s="5" t="n"/>
    </row>
    <row r="28">
      <c r="A28" s="7" t="inlineStr">
        <is>
          <t>Shop reroll</t>
        </is>
      </c>
      <c r="B28" s="7" t="inlineStr">
        <is>
          <t>2, +1 per reroll that shop</t>
        </is>
      </c>
      <c r="C28" s="7" t="inlineStr">
        <is>
          <t>Resets each shop.</t>
        </is>
      </c>
      <c r="D28" s="7" t="n"/>
    </row>
    <row r="29">
      <c r="A29" s="5" t="inlineStr">
        <is>
          <t>Add a tile</t>
        </is>
      </c>
      <c r="B29" s="5" t="inlineStr">
        <is>
          <t>3</t>
        </is>
      </c>
      <c r="C29" s="5" t="inlineStr">
        <is>
          <t>Chosen letter.</t>
        </is>
      </c>
      <c r="D29" s="5" t="n"/>
    </row>
    <row r="30">
      <c r="A30" s="7" t="inlineStr">
        <is>
          <t>Remove a tile</t>
        </is>
      </c>
      <c r="B30" s="7" t="inlineStr">
        <is>
          <t>3</t>
        </is>
      </c>
      <c r="C30" s="7" t="inlineStr">
        <is>
          <t>Chosen tile from hand or pool.</t>
        </is>
      </c>
      <c r="D30" s="7" t="n"/>
    </row>
    <row r="31">
      <c r="A31" s="5" t="inlineStr">
        <is>
          <t>Tile run-time modifier</t>
        </is>
      </c>
      <c r="B31" s="5" t="inlineStr">
        <is>
          <t>6</t>
        </is>
      </c>
      <c r="C31" s="5" t="inlineStr">
        <is>
          <t>Level 1–2 modifiers only in shop.</t>
        </is>
      </c>
      <c r="D31" s="5" t="n"/>
    </row>
    <row r="32" ht="28" customHeight="1">
      <c r="A32" s="7" t="inlineStr">
        <is>
          <t>In-run modifier (conditional slot)</t>
        </is>
      </c>
      <c r="B32" s="7" t="inlineStr">
        <is>
          <t>10</t>
        </is>
      </c>
      <c r="C32" s="7" t="inlineStr">
        <is>
          <t>Only when a criterion is met.</t>
        </is>
      </c>
      <c r="D32" s="7" t="n"/>
    </row>
    <row r="33" ht="28" customHeight="1">
      <c r="A33" s="5" t="inlineStr">
        <is>
          <t>Boss modifier reroll</t>
        </is>
      </c>
      <c r="B33" s="5" t="inlineStr">
        <is>
          <t>8</t>
        </is>
      </c>
      <c r="C33" s="5" t="inlineStr">
        <is>
          <t>Alternative to holding an Amendment card (proposal).</t>
        </is>
      </c>
      <c r="D33" s="5" t="n"/>
    </row>
    <row r="35" ht="91" customHeight="1">
      <c r="A35" s="10" t="inlineStr">
        <is>
          <t>Design intent: a typical regular round should earn ~5–8 currency early and ~12–20 late; a Basic card each round should be affordable, an Exotic every 2–3 rounds, a Relic once per boss cycle.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0"/>
  <sheetViews>
    <sheetView showGridLines="0" workbookViewId="0">
      <selection activeCell="A1" sqref="A1"/>
    </sheetView>
  </sheetViews>
  <sheetFormatPr baseColWidth="10" defaultColWidth="8.83203125" defaultRowHeight="15"/>
  <cols>
    <col width="26" customWidth="1" min="1" max="1"/>
    <col width="60" customWidth="1" min="2" max="2"/>
    <col width="30" customWidth="1" min="3" max="3"/>
  </cols>
  <sheetData>
    <row r="1" ht="18" customHeight="1">
      <c r="A1" s="1" t="inlineStr">
        <is>
          <t>Shops</t>
        </is>
      </c>
    </row>
    <row r="2">
      <c r="A2" s="2" t="inlineStr">
        <is>
          <t>The shop opens after every regular round (not after Boss Rounds, which reward an in-run modifier instead).</t>
        </is>
      </c>
    </row>
    <row r="4" ht="16" customHeight="1">
      <c r="A4" s="3" t="inlineStr">
        <is>
          <t>Layout</t>
        </is>
      </c>
    </row>
    <row r="5">
      <c r="A5" s="4" t="inlineStr">
        <is>
          <t>Slot</t>
        </is>
      </c>
      <c r="B5" s="4" t="inlineStr">
        <is>
          <t>Contents</t>
        </is>
      </c>
      <c r="C5" s="4" t="inlineStr">
        <is>
          <t>Notes</t>
        </is>
      </c>
    </row>
    <row r="6" ht="42" customHeight="1">
      <c r="A6" s="5" t="inlineStr">
        <is>
          <t>Card slots ×3</t>
        </is>
      </c>
      <c r="B6" s="5" t="inlineStr">
        <is>
          <t>Random per-round cards drawn from the unlocked pool, weighted by rarity (Basic 55% / Uncommon 30% / Exotic 12% / Relic 3%).</t>
        </is>
      </c>
      <c r="C6" s="5" t="inlineStr">
        <is>
          <t>Bazaar adds slots. The guaranteed Extension card (offered when the player holds none) is drawn from cards that work with any hand: Before &amp; After, Hyphen, Blend, Free Morpheme — Reduplication needs the exact tail letters and stranded runs in playtests.</t>
        </is>
      </c>
    </row>
    <row r="7" ht="28" customHeight="1">
      <c r="A7" s="7" t="inlineStr">
        <is>
          <t>Tile action ×1</t>
        </is>
      </c>
      <c r="B7" s="7" t="inlineStr">
        <is>
          <t>One of: add a tile of a chosen letter, remove a tile, apply a Level 1–2 run-time modifier to a tile in hand.</t>
        </is>
      </c>
      <c r="C7" s="7" t="n"/>
    </row>
    <row r="8" ht="28" customHeight="1">
      <c r="A8" s="5" t="inlineStr">
        <is>
          <t>Reroll</t>
        </is>
      </c>
      <c r="B8" s="5" t="inlineStr">
        <is>
          <t>Reroll the card slots for a rising fee.</t>
        </is>
      </c>
      <c r="C8" s="5" t="inlineStr">
        <is>
          <t>Etymology card / Bazaar give free rerolls.</t>
        </is>
      </c>
    </row>
    <row r="9" ht="28" customHeight="1">
      <c r="A9" s="7" t="inlineStr">
        <is>
          <t>Conditional in-run modifier slot</t>
        </is>
      </c>
      <c r="B9" s="7" t="inlineStr">
        <is>
          <t>Appears only if the round met a criterion (below). Offers one random in-run modifier for purchase.</t>
        </is>
      </c>
      <c r="C9" s="7" t="inlineStr">
        <is>
          <t>Milestone Keeper makes it permanent.</t>
        </is>
      </c>
    </row>
    <row r="10">
      <c r="A10" s="5" t="inlineStr">
        <is>
          <t>Sell</t>
        </is>
      </c>
      <c r="B10" s="5" t="inlineStr">
        <is>
          <t>Sell held cards at half price.</t>
        </is>
      </c>
      <c r="C10" s="5" t="n"/>
    </row>
    <row r="12" ht="16" customHeight="1">
      <c r="A12" s="3" t="inlineStr">
        <is>
          <t>Prices by rarity</t>
        </is>
      </c>
    </row>
    <row r="13">
      <c r="A13" s="4" t="inlineStr">
        <is>
          <t>Rarity</t>
        </is>
      </c>
      <c r="B13" s="4" t="inlineStr">
        <is>
          <t>Price</t>
        </is>
      </c>
      <c r="C13" s="4" t="inlineStr">
        <is>
          <t>Notes</t>
        </is>
      </c>
    </row>
    <row r="14">
      <c r="A14" s="5" t="inlineStr">
        <is>
          <t>Basic</t>
        </is>
      </c>
      <c r="B14" s="6" t="n">
        <v>3</v>
      </c>
      <c r="C14" s="5" t="n"/>
    </row>
    <row r="15">
      <c r="A15" s="7" t="inlineStr">
        <is>
          <t>Uncommon</t>
        </is>
      </c>
      <c r="B15" s="8" t="n">
        <v>5</v>
      </c>
      <c r="C15" s="7" t="n"/>
    </row>
    <row r="16">
      <c r="A16" s="5" t="inlineStr">
        <is>
          <t>Exotic</t>
        </is>
      </c>
      <c r="B16" s="6" t="n">
        <v>8</v>
      </c>
      <c r="C16" s="5" t="n"/>
    </row>
    <row r="17">
      <c r="A17" s="7" t="inlineStr">
        <is>
          <t>Relic</t>
        </is>
      </c>
      <c r="B17" s="8" t="n">
        <v>12</v>
      </c>
      <c r="C17" s="7" t="n"/>
    </row>
    <row r="18">
      <c r="A18" s="5" t="inlineStr">
        <is>
          <t>In-run modifier (conditional)</t>
        </is>
      </c>
      <c r="B18" s="6" t="n">
        <v>10</v>
      </c>
      <c r="C18" s="5" t="n"/>
    </row>
    <row r="19">
      <c r="A19" s="7" t="inlineStr">
        <is>
          <t>Reroll</t>
        </is>
      </c>
      <c r="B19" s="8" t="inlineStr">
        <is>
          <t>2, +1 each</t>
        </is>
      </c>
      <c r="C19" s="7" t="n"/>
    </row>
    <row r="21" ht="16" customHeight="1">
      <c r="A21" s="3" t="inlineStr">
        <is>
          <t>Criteria that open the conditional in-run modifier slot</t>
        </is>
      </c>
    </row>
    <row r="22">
      <c r="A22" s="4" t="inlineStr">
        <is>
          <t>Criterion</t>
        </is>
      </c>
      <c r="B22" s="4" t="inlineStr">
        <is>
          <t>Description</t>
        </is>
      </c>
      <c r="C22" s="4" t="inlineStr">
        <is>
          <t>Source</t>
        </is>
      </c>
    </row>
    <row r="23">
      <c r="A23" s="5" t="inlineStr">
        <is>
          <t>Natural 5+</t>
        </is>
      </c>
      <c r="B23" s="5" t="inlineStr">
        <is>
          <t>The whole word is a real dictionary word with 5+ morphemes.</t>
        </is>
      </c>
      <c r="C23" s="5" t="inlineStr">
        <is>
          <t>Base game</t>
        </is>
      </c>
    </row>
    <row r="24">
      <c r="A24" s="7" t="inlineStr">
        <is>
          <t>Double threshold</t>
        </is>
      </c>
      <c r="B24" s="7" t="inlineStr">
        <is>
          <t>The round score was at least 2× the threshold.</t>
        </is>
      </c>
      <c r="C24" s="7" t="inlineStr">
        <is>
          <t>Base game</t>
        </is>
      </c>
    </row>
    <row r="25">
      <c r="A25" s="5" t="inlineStr">
        <is>
          <t>Front + back</t>
        </is>
      </c>
      <c r="B25" s="5" t="inlineStr">
        <is>
          <t>Extended by one morpheme on each side in one round.</t>
        </is>
      </c>
      <c r="C25" s="5" t="inlineStr">
        <is>
          <t>Base game</t>
        </is>
      </c>
    </row>
    <row r="26">
      <c r="A26" s="7" t="inlineStr">
        <is>
          <t>Triple step</t>
        </is>
      </c>
      <c r="B26" s="7" t="inlineStr">
        <is>
          <t>Extended by 3+ morphemes in one round.</t>
        </is>
      </c>
      <c r="C26" s="7" t="inlineStr">
        <is>
          <t>Base game</t>
        </is>
      </c>
    </row>
    <row r="27">
      <c r="A27" s="5" t="inlineStr">
        <is>
          <t>Milestone card</t>
        </is>
      </c>
      <c r="B27" s="5" t="inlineStr">
        <is>
          <t>The criterion set by a Milestone card was met.</t>
        </is>
      </c>
      <c r="C27" s="5" t="inlineStr">
        <is>
          <t>Utility card</t>
        </is>
      </c>
    </row>
    <row r="28">
      <c r="A28" s="7" t="inlineStr">
        <is>
          <t>Natural streak 4</t>
        </is>
      </c>
      <c r="B28" s="7" t="inlineStr">
        <is>
          <t>Four consecutive natural extensions.</t>
        </is>
      </c>
      <c r="C28" s="7" t="inlineStr">
        <is>
          <t>Base game</t>
        </is>
      </c>
    </row>
    <row r="29">
      <c r="A29" s="5" t="inlineStr">
        <is>
          <t>Boss overkill</t>
        </is>
      </c>
      <c r="B29" s="5" t="inlineStr">
        <is>
          <t>Previous Boss Round beaten by 2×.</t>
        </is>
      </c>
      <c r="C29" s="5" t="inlineStr">
        <is>
          <t>Applies to the next shop</t>
        </is>
      </c>
    </row>
    <row r="30">
      <c r="A30" s="7" t="inlineStr">
        <is>
          <t>Custom</t>
        </is>
      </c>
      <c r="B30" s="7" t="inlineStr">
        <is>
          <t>Certain in-run modifiers or cards define their own criteria.</t>
        </is>
      </c>
      <c r="C30" s="7" t="inlineStr">
        <is>
          <t>Cards / modifiers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8"/>
  <sheetViews>
    <sheetView showGridLines="0" workbookViewId="0">
      <selection activeCell="B10" sqref="B10"/>
    </sheetView>
  </sheetViews>
  <sheetFormatPr baseColWidth="10" defaultColWidth="8.83203125" defaultRowHeight="15"/>
  <cols>
    <col width="22" customWidth="1" min="1" max="1"/>
    <col width="62" customWidth="1" min="2" max="2"/>
    <col width="12" customWidth="1" min="3" max="3"/>
    <col width="40" customWidth="1" min="4" max="4"/>
  </cols>
  <sheetData>
    <row r="1" ht="18" customHeight="1">
      <c r="A1" s="1" t="inlineStr">
        <is>
          <t>Boss Round Modifiers</t>
        </is>
      </c>
    </row>
    <row r="2">
      <c r="A2" s="2" t="inlineStr">
        <is>
          <t>One random negative modifier per Boss Round, revealed before the round starts. Rerollable via Amendment card, Insight L3/L4, or a paid reroll. Severity 1–3 (proposal: later bosses draw from higher severities).</t>
        </is>
      </c>
    </row>
    <row r="4">
      <c r="A4" s="4" t="inlineStr">
        <is>
          <t>Modifier</t>
        </is>
      </c>
      <c r="B4" s="4" t="inlineStr">
        <is>
          <t>Effect</t>
        </is>
      </c>
      <c r="C4" s="4" t="inlineStr">
        <is>
          <t>Severity</t>
        </is>
      </c>
      <c r="D4" s="4" t="inlineStr">
        <is>
          <t>Notes / counters</t>
        </is>
      </c>
    </row>
    <row r="5" ht="28" customHeight="1">
      <c r="A5" s="5" t="inlineStr">
        <is>
          <t>Y Not</t>
        </is>
      </c>
      <c r="B5" s="5" t="inlineStr">
        <is>
          <t>All vowel tiles become Y for this round; tile modifiers are retained.</t>
        </is>
      </c>
      <c r="C5" s="6" t="n">
        <v>3</v>
      </c>
      <c r="D5" s="5" t="inlineStr">
        <is>
          <t>Brutal for vowel-heavy words. Vowel Wild tiles are unaffected.</t>
        </is>
      </c>
    </row>
    <row r="6">
      <c r="A6" s="7" t="inlineStr">
        <is>
          <t>Long Words Only</t>
        </is>
      </c>
      <c r="B6" s="7" t="inlineStr">
        <is>
          <t>All words placed must be 4+ letters.</t>
        </is>
      </c>
      <c r="C6" s="8" t="n">
        <v>2</v>
      </c>
      <c r="D6" s="7" t="n"/>
    </row>
    <row r="7">
      <c r="A7" s="5" t="inlineStr">
        <is>
          <t>Short Words Only</t>
        </is>
      </c>
      <c r="B7" s="5" t="inlineStr">
        <is>
          <t>All words placed must be exactly 3 letters.</t>
        </is>
      </c>
      <c r="C7" s="6" t="n">
        <v>2</v>
      </c>
      <c r="D7" s="5" t="inlineStr">
        <is>
          <t>Weak with a long starter word.</t>
        </is>
      </c>
    </row>
    <row r="8">
      <c r="A8" s="7" t="inlineStr">
        <is>
          <t>Rapid Feed</t>
        </is>
      </c>
      <c r="B8" s="7" t="inlineStr">
        <is>
          <t>Tile feed arrives 50% faster.</t>
        </is>
      </c>
      <c r="C8" s="8" t="n">
        <v>2</v>
      </c>
      <c r="D8" s="7" t="inlineStr">
        <is>
          <t>Feed Slow / Tempo soften it.</t>
        </is>
      </c>
    </row>
    <row r="9">
      <c r="A9" s="5" t="inlineStr">
        <is>
          <t>Tight Rack</t>
        </is>
      </c>
      <c r="B9" s="5" t="inlineStr">
        <is>
          <t>Rack size reduced to 4.</t>
        </is>
      </c>
      <c r="C9" s="6" t="n">
        <v>2</v>
      </c>
      <c r="D9" s="5" t="inlineStr">
        <is>
          <t>Rack Extension offsets it.</t>
        </is>
      </c>
    </row>
    <row r="10">
      <c r="A10" s="7" t="inlineStr">
        <is>
          <t>Fog</t>
        </is>
      </c>
      <c r="B10" s="7" t="inlineStr">
        <is>
          <t>Upcoming-letter queue is hidden.</t>
        </is>
      </c>
      <c r="C10" s="8" t="n">
        <v>2</v>
      </c>
      <c r="D10" s="7" t="inlineStr">
        <is>
          <t>Preview card still works (applied before).</t>
        </is>
      </c>
    </row>
    <row r="11">
      <c r="A11" s="5" t="inlineStr">
        <is>
          <t>Half Time</t>
        </is>
      </c>
      <c r="B11" s="5" t="inlineStr">
        <is>
          <t>Timer −30%.</t>
        </is>
      </c>
      <c r="C11" s="6" t="n">
        <v>2</v>
      </c>
      <c r="D11" s="5" t="n"/>
    </row>
    <row r="12" ht="28" customHeight="1">
      <c r="A12" s="7" t="inlineStr">
        <is>
          <t>Gravity</t>
        </is>
      </c>
      <c r="B12" s="7" t="inlineStr">
        <is>
          <t>Only the first word can be placed horizontally, all subsequent words may only be placed vertically.</t>
        </is>
      </c>
      <c r="C12" s="8" t="n">
        <v>1</v>
      </c>
      <c r="D12" s="7" t="n"/>
    </row>
    <row r="13">
      <c r="A13" s="5" t="inlineStr">
        <is>
          <t>One Direction</t>
        </is>
      </c>
      <c r="B13" s="5" t="inlineStr">
        <is>
          <t>Each word must be placed in the opposite direction to the previous one.</t>
        </is>
      </c>
      <c r="C13" s="6" t="n">
        <v>1</v>
      </c>
      <c r="D13" s="5" t="n"/>
    </row>
    <row r="14">
      <c r="A14" s="7" t="inlineStr">
        <is>
          <t>Vowel Tax</t>
        </is>
      </c>
      <c r="B14" s="7" t="inlineStr">
        <is>
          <t>Vowels score 0 this round.</t>
        </is>
      </c>
      <c r="C14" s="8" t="n">
        <v>2</v>
      </c>
      <c r="D14" s="7" t="n"/>
    </row>
    <row r="15">
      <c r="A15" s="5" t="inlineStr">
        <is>
          <t>Silence</t>
        </is>
      </c>
      <c r="B15" s="5" t="inlineStr">
        <is>
          <t>No sound cues or timer ticks this round.</t>
        </is>
      </c>
      <c r="C15" s="6" t="n">
        <v>1</v>
      </c>
      <c r="D15" s="5" t="inlineStr">
        <is>
          <t>Flavor/skill modifier.</t>
        </is>
      </c>
    </row>
    <row r="16">
      <c r="A16" s="7" t="inlineStr">
        <is>
          <t>Scramble</t>
        </is>
      </c>
      <c r="B16" s="7" t="inlineStr">
        <is>
          <t>The rack shuffles every 10 seconds.</t>
        </is>
      </c>
      <c r="C16" s="8" t="n">
        <v>1</v>
      </c>
      <c r="D16" s="7" t="n"/>
    </row>
    <row r="17" ht="28" customHeight="1">
      <c r="A17" s="5" t="inlineStr">
        <is>
          <t>Decay</t>
        </is>
      </c>
      <c r="B17" s="5" t="inlineStr">
        <is>
          <t>Placed tiles lose 1 value every 15 seconds until scored (words score when completed).</t>
        </is>
      </c>
      <c r="C17" s="6" t="n">
        <v>2</v>
      </c>
      <c r="D17" s="5" t="n"/>
    </row>
    <row r="18" ht="28" customHeight="1">
      <c r="A18" s="7" t="inlineStr">
        <is>
          <t>Dead Letter</t>
        </is>
      </c>
      <c r="B18" s="7" t="inlineStr">
        <is>
          <t>A random letter is banned; if it arrives in the feed it must be discarded (costs a rack slot until the next placement).</t>
        </is>
      </c>
      <c r="C18" s="8" t="n">
        <v>2</v>
      </c>
      <c r="D18" s="7" t="n"/>
    </row>
    <row r="19" ht="28" customHeight="1">
      <c r="A19" s="5" t="inlineStr">
        <is>
          <t>Echo Rule</t>
        </is>
      </c>
      <c r="B19" s="5" t="inlineStr">
        <is>
          <t>Each word must share at least one letter position with the previous word placed (crossword-style crossing required).</t>
        </is>
      </c>
      <c r="C19" s="6" t="n">
        <v>2</v>
      </c>
      <c r="D19" s="5" t="n"/>
    </row>
    <row r="20">
      <c r="A20" s="7" t="inlineStr">
        <is>
          <t>Frozen Multiplier</t>
        </is>
      </c>
      <c r="B20" s="7" t="inlineStr">
        <is>
          <t>The morpheme multiplier is frozen at 1 morpheme lower than current.</t>
        </is>
      </c>
      <c r="C20" s="8" t="n">
        <v>2</v>
      </c>
      <c r="D20" s="7" t="inlineStr">
        <is>
          <t>Old Grammarian: The Archivist.</t>
        </is>
      </c>
    </row>
    <row r="21">
      <c r="A21" s="5" t="inlineStr">
        <is>
          <t>Overload</t>
        </is>
      </c>
      <c r="B21" s="5" t="inlineStr">
        <is>
          <t>Rack overflow ends the round immediately.</t>
        </is>
      </c>
      <c r="C21" s="6" t="n">
        <v>3</v>
      </c>
      <c r="D21" s="5" t="inlineStr">
        <is>
          <t>Overflow modifier negates it.</t>
        </is>
      </c>
    </row>
    <row r="22">
      <c r="A22" s="7" t="inlineStr">
        <is>
          <t>Starter Shrink</t>
        </is>
      </c>
      <c r="B22" s="7" t="inlineStr">
        <is>
          <t>The starter word is only its last morpheme, regardless of boss number.</t>
        </is>
      </c>
      <c r="C22" s="8" t="n">
        <v>2</v>
      </c>
      <c r="D22" s="7" t="n"/>
    </row>
    <row r="23">
      <c r="A23" s="5" t="inlineStr">
        <is>
          <t>Mirror Board</t>
        </is>
      </c>
      <c r="B23" s="5" t="inlineStr">
        <is>
          <t>The board is half its normal size.</t>
        </is>
      </c>
      <c r="C23" s="6" t="n">
        <v>2</v>
      </c>
      <c r="D23" s="5" t="n"/>
    </row>
    <row r="24">
      <c r="A24" s="7" t="inlineStr">
        <is>
          <t>Mute Modifiers</t>
        </is>
      </c>
      <c r="B24" s="7" t="inlineStr">
        <is>
          <t>Tile modifiers are ignored this round.</t>
        </is>
      </c>
      <c r="C24" s="8" t="n">
        <v>3</v>
      </c>
      <c r="D24" s="7" t="inlineStr">
        <is>
          <t>Hits loadout-heavy players hardest.</t>
        </is>
      </c>
    </row>
    <row r="25">
      <c r="A25" s="5" t="inlineStr">
        <is>
          <t>Toll</t>
        </is>
      </c>
      <c r="B25" s="5" t="inlineStr">
        <is>
          <t>Each word placed costs 1 currency.</t>
        </is>
      </c>
      <c r="C25" s="6" t="n">
        <v>1</v>
      </c>
      <c r="D25" s="5" t="inlineStr">
        <is>
          <t>Economy pressure.</t>
        </is>
      </c>
    </row>
    <row r="26">
      <c r="A26" s="7" t="inlineStr">
        <is>
          <t>Wild Drought</t>
        </is>
      </c>
      <c r="B26" s="7" t="inlineStr">
        <is>
          <t>Blank and Wild tiles are removed from the feed.</t>
        </is>
      </c>
      <c r="C26" s="8" t="n">
        <v>1</v>
      </c>
      <c r="D26" s="7" t="n"/>
    </row>
    <row r="28" ht="91" customHeight="1">
      <c r="A28" s="10" t="inlineStr">
        <is>
          <t>Boss baseline (proposal, to tune): 90 s timer; starting rack 3; feed every 4 s (B1) → 2.5 s (B6); rack cap 7; starter word = full word (B1), last 3 morphemes (B2), last 2 (B3), last 1 (B4–B6).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44"/>
  <sheetViews>
    <sheetView showGridLines="0" workbookViewId="0">
      <pane xSplit="4" ySplit="15" topLeftCell="E16" activePane="bottomRight" state="frozen"/>
      <selection pane="topRight" activeCell="A1" sqref="A1"/>
      <selection pane="bottomLeft" activeCell="A1" sqref="A1"/>
      <selection pane="bottomRight" activeCell="P19" sqref="P19"/>
    </sheetView>
  </sheetViews>
  <sheetFormatPr baseColWidth="10" defaultColWidth="8.83203125" defaultRowHeight="15"/>
  <cols>
    <col width="7" customWidth="1" min="1" max="1"/>
    <col width="9" customWidth="1" min="2" max="2"/>
    <col width="22" customWidth="1" min="3" max="3"/>
    <col width="30" customWidth="1" min="4" max="4"/>
    <col width="12" customWidth="1" min="5" max="5"/>
    <col width="10" customWidth="1" min="6" max="6"/>
    <col width="8" customWidth="1" min="7" max="8"/>
    <col width="10" customWidth="1" min="9" max="12"/>
    <col width="12" customWidth="1" min="13" max="13"/>
    <col width="14" customWidth="1" min="14" max="14"/>
    <col width="12" customWidth="1" min="15" max="15"/>
    <col width="8" customWidth="1" min="16" max="16"/>
    <col width="10" customWidth="1" min="17" max="17"/>
  </cols>
  <sheetData>
    <row r="1" ht="18" customHeight="1">
      <c r="A1" s="1" t="inlineStr">
        <is>
          <t>Scoring scenario — full 24-round run</t>
        </is>
      </c>
    </row>
    <row r="2">
      <c r="A2" s="2" t="inlineStr">
        <is>
          <t>Base values from the Tiles tab (Scrabble). Yellow cells are parameters; blue cells are scenario inputs. Formulas recalculate when parameters change. In-run multiplier assumes one modest scoring modifier is picked after each boss.</t>
        </is>
      </c>
    </row>
    <row r="4" ht="16" customHeight="1">
      <c r="A4" s="3" t="inlineStr">
        <is>
          <t>Parameters</t>
        </is>
      </c>
      <c r="F4" s="3" t="inlineStr">
        <is>
          <t>Threshold growth per round, by block</t>
        </is>
      </c>
    </row>
    <row r="5">
      <c r="A5" t="inlineStr">
        <is>
          <t>Multiplier base</t>
        </is>
      </c>
      <c r="C5" s="15" t="n">
        <v>1.4</v>
      </c>
      <c r="D5" s="2" t="inlineStr">
        <is>
          <t>morpheme multiplier = base ^ (effective morphemes − 1)</t>
        </is>
      </c>
      <c r="F5" s="4" t="inlineStr">
        <is>
          <t>Rounds</t>
        </is>
      </c>
      <c r="G5" s="4" t="inlineStr">
        <is>
          <t>Growth</t>
        </is>
      </c>
    </row>
    <row r="6">
      <c r="A6" t="inlineStr">
        <is>
          <t>Round 1 threshold</t>
        </is>
      </c>
      <c r="C6" s="15" t="n">
        <v>4</v>
      </c>
      <c r="D6" t="inlineStr">
        <is>
          <t>Lowered from 6 so an unmodified run nearly always reaches B1 (round 4 threshold 20).</t>
        </is>
      </c>
      <c r="F6" t="inlineStr">
        <is>
          <t>1–4</t>
        </is>
      </c>
      <c r="G6" s="15" t="n">
        <v>1.5</v>
      </c>
    </row>
    <row r="7">
      <c r="A7" t="inlineStr">
        <is>
          <t>Threshold growth per round (by block — table at F5:G11)</t>
        </is>
      </c>
      <c r="C7" s="15" t="n"/>
      <c r="D7" s="2" t="inlineStr">
        <is>
          <t>threshold(r) = T1 × Π growth(block of k) for k = 2..r; column R holds each round's growth, column S the running base. Changed 2026-09-18 from a flat 1.5 after human playtests: multi-step rounds plus streak modifiers outgrew a geometric 1.5.</t>
        </is>
      </c>
      <c r="F7" t="inlineStr">
        <is>
          <t>5–8</t>
        </is>
      </c>
      <c r="G7" s="15" t="n">
        <v>1.5</v>
      </c>
    </row>
    <row r="8">
      <c r="A8" t="inlineStr">
        <is>
          <t>Boss threshold factor</t>
        </is>
      </c>
      <c r="C8" s="15" t="n">
        <v>3</v>
      </c>
      <c r="D8" t="inlineStr">
        <is>
          <t>Raised from 1.5 after bot playtests (2026-09-16): boss score is feed-bound (~all fed tiles get placed), so 1.5 gave 6–12× margins. At 3 the scenario below still passes every boss with a narrowing margin (1.02–1.36 for B4–B6).</t>
        </is>
      </c>
      <c r="F8" t="inlineStr">
        <is>
          <t>9–12</t>
        </is>
      </c>
      <c r="G8" s="15" t="n">
        <v>1.75</v>
      </c>
    </row>
    <row r="9">
      <c r="A9" t="inlineStr">
        <is>
          <t>Strain (effective morphemes −)</t>
        </is>
      </c>
      <c r="C9" s="15" t="n">
        <v>1</v>
      </c>
      <c r="F9" t="inlineStr">
        <is>
          <t>13–16</t>
        </is>
      </c>
      <c r="G9" s="15" t="n">
        <v>2</v>
      </c>
    </row>
    <row r="10">
      <c r="A10" t="inlineStr">
        <is>
          <t>Bonus: 2 morphemes same side</t>
        </is>
      </c>
      <c r="C10" s="15" t="n">
        <v>1.5</v>
      </c>
      <c r="F10" t="inlineStr">
        <is>
          <t>17–20</t>
        </is>
      </c>
      <c r="G10" s="15" t="n">
        <v>2.25</v>
      </c>
    </row>
    <row r="11">
      <c r="A11" t="inlineStr">
        <is>
          <t>Bonus: front + back</t>
        </is>
      </c>
      <c r="C11" s="15" t="n">
        <v>2</v>
      </c>
      <c r="F11" t="inlineStr">
        <is>
          <t>21–24</t>
        </is>
      </c>
      <c r="G11" s="15" t="n">
        <v>2.5</v>
      </c>
    </row>
    <row r="12">
      <c r="A12" t="inlineStr">
        <is>
          <t>In-run multiplier gained per boss</t>
        </is>
      </c>
      <c r="C12" s="15" t="n">
        <v>0.2</v>
      </c>
      <c r="D12" s="2" t="inlineStr">
        <is>
          <t>e.g. Agglutination-style picks; cumulative 1.0 → 2.0 by the final boss</t>
        </is>
      </c>
    </row>
    <row r="13">
      <c r="A13" t="inlineStr">
        <is>
          <t>Hand size</t>
        </is>
      </c>
      <c r="C13" s="15" t="n">
        <v>8</v>
      </c>
      <c r="D13" s="2" t="inlineStr">
        <is>
          <t>Tiles drawn each regular round (10 → 8 on 2026-09-18; Substrate adds more). Not used by the formulas below; the engine reads it.</t>
        </is>
      </c>
    </row>
    <row r="14" ht="16" customHeight="1">
      <c r="A14" s="3" t="inlineStr">
        <is>
          <t>Scenario: form → formal → informal → … (chain shown as the full letter string; ~ marks a chain join)</t>
        </is>
      </c>
    </row>
    <row r="15" ht="42" customHeight="1">
      <c r="A15" s="4" t="inlineStr">
        <is>
          <t>Round</t>
        </is>
      </c>
      <c r="B15" s="4" t="inlineStr">
        <is>
          <t>Type</t>
        </is>
      </c>
      <c r="C15" s="4" t="inlineStr">
        <is>
          <t>Action</t>
        </is>
      </c>
      <c r="D15" s="4" t="inlineStr">
        <is>
          <t>Word / chain</t>
        </is>
      </c>
      <c r="E15" s="4" t="inlineStr">
        <is>
          <t>Morphemes added</t>
        </is>
      </c>
      <c r="F15" s="4" t="inlineStr">
        <is>
          <t>Morphemes (m)</t>
        </is>
      </c>
      <c r="G15" s="4" t="inlineStr">
        <is>
          <t>Word points (whole chain)</t>
        </is>
      </c>
      <c r="H15" s="4" t="inlineStr">
        <is>
          <t>Boss word points (sum of words placed)</t>
        </is>
      </c>
      <c r="I15" s="4" t="inlineStr">
        <is>
          <t>Ext. card used</t>
        </is>
      </c>
      <c r="J15" s="4" t="inlineStr">
        <is>
          <t>Ext. bonus type</t>
        </is>
      </c>
      <c r="K15" s="4" t="inlineStr">
        <is>
          <t>Effective m</t>
        </is>
      </c>
      <c r="L15" s="4" t="inlineStr">
        <is>
          <t>Morpheme mult</t>
        </is>
      </c>
      <c r="M15" s="4" t="inlineStr">
        <is>
          <t>Ext. bonus mult</t>
        </is>
      </c>
      <c r="N15" s="4" t="inlineStr">
        <is>
          <t>In-run mult</t>
        </is>
      </c>
      <c r="O15" s="4" t="inlineStr">
        <is>
          <t>Score</t>
        </is>
      </c>
      <c r="P15" s="4" t="inlineStr">
        <is>
          <t>Threshold</t>
        </is>
      </c>
      <c r="Q15" s="4" t="inlineStr">
        <is>
          <t>Pass?</t>
        </is>
      </c>
      <c r="R15" s="4" t="inlineStr">
        <is>
          <t>Growth</t>
        </is>
      </c>
      <c r="S15" s="4" t="inlineStr">
        <is>
          <t>Base threshold</t>
        </is>
      </c>
    </row>
    <row r="16">
      <c r="A16" s="5" t="n">
        <v>1</v>
      </c>
      <c r="B16" s="5" t="inlineStr">
        <is>
          <t>Regular</t>
        </is>
      </c>
      <c r="C16" s="5" t="inlineStr">
        <is>
          <t>Start: form</t>
        </is>
      </c>
      <c r="D16" s="5" t="inlineStr">
        <is>
          <t>form</t>
        </is>
      </c>
      <c r="E16" s="6" t="n">
        <v>1</v>
      </c>
      <c r="F16" s="6" t="n">
        <v>1</v>
      </c>
      <c r="G16" s="6" t="n">
        <v>9</v>
      </c>
      <c r="H16" s="6" t="n"/>
      <c r="I16" s="6" t="inlineStr">
        <is>
          <t>N</t>
        </is>
      </c>
      <c r="J16" s="6" t="inlineStr">
        <is>
          <t>-</t>
        </is>
      </c>
      <c r="K16" s="16">
        <f>F16-IF(I16="Y",$C$9,0)</f>
        <v/>
      </c>
      <c r="L16" s="17">
        <f>$C$5^(K16-1)</f>
        <v/>
      </c>
      <c r="M16" s="16">
        <f>IF(J16="2 same side",$C$10,IF(J16="front+back",$C$11,1))</f>
        <v/>
      </c>
      <c r="N16" s="17">
        <f>1+$C$12*INT((A16-1)/4)</f>
        <v/>
      </c>
      <c r="O16" s="18">
        <f>IF(B16="Boss",ROUND(H16*L16*N16,0),ROUND(G16*L16*M16*N16,0))</f>
        <v/>
      </c>
      <c r="P16" s="18">
        <f>ROUND(S16*IF(B16="Boss",$C$8,1),0)</f>
        <v/>
      </c>
      <c r="Q16" s="16">
        <f>IF(O16&gt;=P16,"PASS","FAIL")</f>
        <v/>
      </c>
      <c r="R16" s="18">
        <f>INDEX($G$6:$G$11,INT((A16-1)/4)+1)</f>
        <v/>
      </c>
      <c r="S16" s="18">
        <f>$C$6</f>
        <v/>
      </c>
    </row>
    <row r="17">
      <c r="A17" s="5" t="n">
        <v>2</v>
      </c>
      <c r="B17" s="5" t="inlineStr">
        <is>
          <t>Regular</t>
        </is>
      </c>
      <c r="C17" s="5" t="inlineStr">
        <is>
          <t>+al (back)</t>
        </is>
      </c>
      <c r="D17" s="5" t="inlineStr">
        <is>
          <t>formal</t>
        </is>
      </c>
      <c r="E17" s="6" t="n">
        <v>1</v>
      </c>
      <c r="F17" s="6" t="n">
        <v>2</v>
      </c>
      <c r="G17" s="6" t="n">
        <v>11</v>
      </c>
      <c r="H17" s="6" t="n"/>
      <c r="I17" s="6" t="inlineStr">
        <is>
          <t>N</t>
        </is>
      </c>
      <c r="J17" s="6" t="inlineStr">
        <is>
          <t>-</t>
        </is>
      </c>
      <c r="K17" s="16">
        <f>F17-IF(I17="Y",$C$9,0)</f>
        <v/>
      </c>
      <c r="L17" s="17">
        <f>$C$5^(K17-1)</f>
        <v/>
      </c>
      <c r="M17" s="16">
        <f>IF(J17="2 same side",$C$10,IF(J17="front+back",$C$11,1))</f>
        <v/>
      </c>
      <c r="N17" s="17">
        <f>1+$C$12*INT((A17-1)/4)</f>
        <v/>
      </c>
      <c r="O17" s="18">
        <f>IF(B17="Boss",ROUND(H17*L17*N17,0),ROUND(G17*L17*M17*N17,0))</f>
        <v/>
      </c>
      <c r="P17" s="18">
        <f>ROUND(S17*IF(B17="Boss",$C$8,1),0)</f>
        <v/>
      </c>
      <c r="Q17" s="16">
        <f>IF(O17&gt;=P17,"PASS","FAIL")</f>
        <v/>
      </c>
      <c r="R17" s="18">
        <f>INDEX($G$6:$G$11,INT((A17-1)/4)+1)</f>
        <v/>
      </c>
      <c r="S17" s="18">
        <f>S16*R17</f>
        <v/>
      </c>
    </row>
    <row r="18">
      <c r="A18" s="5" t="n">
        <v>3</v>
      </c>
      <c r="B18" s="5" t="inlineStr">
        <is>
          <t>Regular</t>
        </is>
      </c>
      <c r="C18" s="5" t="inlineStr">
        <is>
          <t>+in (front)</t>
        </is>
      </c>
      <c r="D18" s="5" t="inlineStr">
        <is>
          <t>informal</t>
        </is>
      </c>
      <c r="E18" s="6" t="n">
        <v>1</v>
      </c>
      <c r="F18" s="6" t="n">
        <v>3</v>
      </c>
      <c r="G18" s="6" t="n">
        <v>13</v>
      </c>
      <c r="H18" s="6" t="n"/>
      <c r="I18" s="6" t="inlineStr">
        <is>
          <t>N</t>
        </is>
      </c>
      <c r="J18" s="6" t="inlineStr">
        <is>
          <t>-</t>
        </is>
      </c>
      <c r="K18" s="16">
        <f>F18-IF(I18="Y",$C$9,0)</f>
        <v/>
      </c>
      <c r="L18" s="17">
        <f>$C$5^(K18-1)</f>
        <v/>
      </c>
      <c r="M18" s="16">
        <f>IF(J18="2 same side",$C$10,IF(J18="front+back",$C$11,1))</f>
        <v/>
      </c>
      <c r="N18" s="17">
        <f>1+$C$12*INT((A18-1)/4)</f>
        <v/>
      </c>
      <c r="O18" s="18">
        <f>IF(B18="Boss",ROUND(H18*L18*N18,0),ROUND(G18*L18*M18*N18,0))</f>
        <v/>
      </c>
      <c r="P18" s="18">
        <f>ROUND(S18*IF(B18="Boss",$C$8,1),0)</f>
        <v/>
      </c>
      <c r="Q18" s="16">
        <f>IF(O18&gt;=P18,"PASS","FAIL")</f>
        <v/>
      </c>
      <c r="R18" s="18">
        <f>INDEX($G$6:$G$11,INT((A18-1)/4)+1)</f>
        <v/>
      </c>
      <c r="S18" s="18">
        <f>S17*R18</f>
        <v/>
      </c>
    </row>
    <row r="19" ht="28" customHeight="1">
      <c r="A19" s="13" t="n">
        <v>4</v>
      </c>
      <c r="B19" s="13" t="inlineStr">
        <is>
          <t>Boss</t>
        </is>
      </c>
      <c r="C19" s="13" t="inlineStr">
        <is>
          <t>B1 — words: form, mail, norm, loan, farm</t>
        </is>
      </c>
      <c r="D19" s="13" t="inlineStr">
        <is>
          <t>informal (starter: full word)</t>
        </is>
      </c>
      <c r="E19" s="19" t="n">
        <v>0</v>
      </c>
      <c r="F19" s="19" t="n">
        <v>3</v>
      </c>
      <c r="G19" s="19" t="n"/>
      <c r="H19" s="19" t="n">
        <v>34</v>
      </c>
      <c r="I19" s="19" t="inlineStr">
        <is>
          <t>N</t>
        </is>
      </c>
      <c r="J19" s="19" t="inlineStr">
        <is>
          <t>-</t>
        </is>
      </c>
      <c r="K19" s="20">
        <f>F19-IF(I19="Y",$C$9,0)</f>
        <v/>
      </c>
      <c r="L19" s="21">
        <f>$C$5^(K19-1)</f>
        <v/>
      </c>
      <c r="M19" s="20">
        <f>IF(J19="2 same side",$C$10,IF(J19="front+back",$C$11,1))</f>
        <v/>
      </c>
      <c r="N19" s="21">
        <f>1+$C$12*INT((A19-1)/4)</f>
        <v/>
      </c>
      <c r="O19" s="22">
        <f>IF(B19="Boss",ROUND(H19*L19*N19,0),ROUND(G19*L19*M19*N19,0))</f>
        <v/>
      </c>
      <c r="P19" s="22">
        <f>ROUND(S19*IF(B19="Boss",$C$8,1),0)</f>
        <v/>
      </c>
      <c r="Q19" s="20">
        <f>IF(O19&gt;=P19,"PASS","FAIL")</f>
        <v/>
      </c>
      <c r="R19" s="22">
        <f>INDEX($G$6:$G$11,INT((A19-1)/4)+1)</f>
        <v/>
      </c>
      <c r="S19" s="22">
        <f>S18*R19</f>
        <v/>
      </c>
    </row>
    <row r="20">
      <c r="A20" s="5" t="n">
        <v>5</v>
      </c>
      <c r="B20" s="5" t="inlineStr">
        <is>
          <t>Regular</t>
        </is>
      </c>
      <c r="C20" s="5" t="inlineStr">
        <is>
          <t>+ly (back)</t>
        </is>
      </c>
      <c r="D20" s="5" t="inlineStr">
        <is>
          <t>informally</t>
        </is>
      </c>
      <c r="E20" s="6" t="n">
        <v>1</v>
      </c>
      <c r="F20" s="6" t="n">
        <v>4</v>
      </c>
      <c r="G20" s="6" t="n">
        <v>18</v>
      </c>
      <c r="H20" s="6" t="n"/>
      <c r="I20" s="6" t="inlineStr">
        <is>
          <t>N</t>
        </is>
      </c>
      <c r="J20" s="6" t="inlineStr">
        <is>
          <t>-</t>
        </is>
      </c>
      <c r="K20" s="16">
        <f>F20-IF(I20="Y",$C$9,0)</f>
        <v/>
      </c>
      <c r="L20" s="17">
        <f>$C$5^(K20-1)</f>
        <v/>
      </c>
      <c r="M20" s="16">
        <f>IF(J20="2 same side",$C$10,IF(J20="front+back",$C$11,1))</f>
        <v/>
      </c>
      <c r="N20" s="17">
        <f>1+$C$12*INT((A20-1)/4)</f>
        <v/>
      </c>
      <c r="O20" s="18">
        <f>IF(B20="Boss",ROUND(H20*L20*N20,0),ROUND(G20*L20*M20*N20,0))</f>
        <v/>
      </c>
      <c r="P20" s="18">
        <f>ROUND(S20*IF(B20="Boss",$C$8,1),0)</f>
        <v/>
      </c>
      <c r="Q20" s="16">
        <f>IF(O20&gt;=P20,"PASS","FAIL")</f>
        <v/>
      </c>
      <c r="R20" s="18">
        <f>INDEX($G$6:$G$11,INT((A20-1)/4)+1)</f>
        <v/>
      </c>
      <c r="S20" s="18">
        <f>S19*R20</f>
        <v/>
      </c>
    </row>
    <row r="21">
      <c r="A21" s="5" t="n">
        <v>6</v>
      </c>
      <c r="B21" s="5" t="inlineStr">
        <is>
          <t>Regular</t>
        </is>
      </c>
      <c r="C21" s="5" t="inlineStr">
        <is>
          <t>Before &amp; After: ly → lyric</t>
        </is>
      </c>
      <c r="D21" s="5" t="inlineStr">
        <is>
          <t>informal~lyric</t>
        </is>
      </c>
      <c r="E21" s="6" t="n">
        <v>1</v>
      </c>
      <c r="F21" s="6" t="n">
        <v>5</v>
      </c>
      <c r="G21" s="6" t="n">
        <v>23</v>
      </c>
      <c r="H21" s="6" t="n"/>
      <c r="I21" s="6" t="inlineStr">
        <is>
          <t>Y</t>
        </is>
      </c>
      <c r="J21" s="6" t="inlineStr">
        <is>
          <t>-</t>
        </is>
      </c>
      <c r="K21" s="16">
        <f>F21-IF(I21="Y",$C$9,0)</f>
        <v/>
      </c>
      <c r="L21" s="17">
        <f>$C$5^(K21-1)</f>
        <v/>
      </c>
      <c r="M21" s="16">
        <f>IF(J21="2 same side",$C$10,IF(J21="front+back",$C$11,1))</f>
        <v/>
      </c>
      <c r="N21" s="17">
        <f>1+$C$12*INT((A21-1)/4)</f>
        <v/>
      </c>
      <c r="O21" s="18">
        <f>IF(B21="Boss",ROUND(H21*L21*N21,0),ROUND(G21*L21*M21*N21,0))</f>
        <v/>
      </c>
      <c r="P21" s="18">
        <f>ROUND(S21*IF(B21="Boss",$C$8,1),0)</f>
        <v/>
      </c>
      <c r="Q21" s="16">
        <f>IF(O21&gt;=P21,"PASS","FAIL")</f>
        <v/>
      </c>
      <c r="R21" s="18">
        <f>INDEX($G$6:$G$11,INT((A21-1)/4)+1)</f>
        <v/>
      </c>
      <c r="S21" s="18">
        <f>S20*R21</f>
        <v/>
      </c>
    </row>
    <row r="22">
      <c r="A22" s="5" t="n">
        <v>7</v>
      </c>
      <c r="B22" s="5" t="inlineStr">
        <is>
          <t>Regular</t>
        </is>
      </c>
      <c r="C22" s="5" t="inlineStr">
        <is>
          <t>+al (back)</t>
        </is>
      </c>
      <c r="D22" s="5" t="inlineStr">
        <is>
          <t>informal~lyrical</t>
        </is>
      </c>
      <c r="E22" s="6" t="n">
        <v>1</v>
      </c>
      <c r="F22" s="6" t="n">
        <v>6</v>
      </c>
      <c r="G22" s="6" t="n">
        <v>25</v>
      </c>
      <c r="H22" s="6" t="n"/>
      <c r="I22" s="6" t="inlineStr">
        <is>
          <t>N</t>
        </is>
      </c>
      <c r="J22" s="6" t="inlineStr">
        <is>
          <t>-</t>
        </is>
      </c>
      <c r="K22" s="16">
        <f>F22-IF(I22="Y",$C$9,0)</f>
        <v/>
      </c>
      <c r="L22" s="17">
        <f>$C$5^(K22-1)</f>
        <v/>
      </c>
      <c r="M22" s="16">
        <f>IF(J22="2 same side",$C$10,IF(J22="front+back",$C$11,1))</f>
        <v/>
      </c>
      <c r="N22" s="17">
        <f>1+$C$12*INT((A22-1)/4)</f>
        <v/>
      </c>
      <c r="O22" s="18">
        <f>IF(B22="Boss",ROUND(H22*L22*N22,0),ROUND(G22*L22*M22*N22,0))</f>
        <v/>
      </c>
      <c r="P22" s="18">
        <f>ROUND(S22*IF(B22="Boss",$C$8,1),0)</f>
        <v/>
      </c>
      <c r="Q22" s="16">
        <f>IF(O22&gt;=P22,"PASS","FAIL")</f>
        <v/>
      </c>
      <c r="R22" s="18">
        <f>INDEX($G$6:$G$11,INT((A22-1)/4)+1)</f>
        <v/>
      </c>
      <c r="S22" s="18">
        <f>S21*R22</f>
        <v/>
      </c>
    </row>
    <row r="23" ht="28" customHeight="1">
      <c r="A23" s="13" t="n">
        <v>8</v>
      </c>
      <c r="B23" s="13" t="inlineStr">
        <is>
          <t>Boss</t>
        </is>
      </c>
      <c r="C23" s="13" t="inlineStr">
        <is>
          <t>B2 — words: lyric, final, calm, rail, firm, loam</t>
        </is>
      </c>
      <c r="D23" s="13" t="inlineStr">
        <is>
          <t>(starter: last 3 morphemes)</t>
        </is>
      </c>
      <c r="E23" s="19" t="n">
        <v>0</v>
      </c>
      <c r="F23" s="19" t="n">
        <v>6</v>
      </c>
      <c r="G23" s="19" t="n"/>
      <c r="H23" s="19" t="n">
        <v>52</v>
      </c>
      <c r="I23" s="19" t="inlineStr">
        <is>
          <t>N</t>
        </is>
      </c>
      <c r="J23" s="19" t="inlineStr">
        <is>
          <t>-</t>
        </is>
      </c>
      <c r="K23" s="20">
        <f>F23-IF(I23="Y",$C$9,0)</f>
        <v/>
      </c>
      <c r="L23" s="21">
        <f>$C$5^(K23-1)</f>
        <v/>
      </c>
      <c r="M23" s="20">
        <f>IF(J23="2 same side",$C$10,IF(J23="front+back",$C$11,1))</f>
        <v/>
      </c>
      <c r="N23" s="21">
        <f>1+$C$12*INT((A23-1)/4)</f>
        <v/>
      </c>
      <c r="O23" s="22">
        <f>IF(B23="Boss",ROUND(H23*L23*N23,0),ROUND(G23*L23*M23*N23,0))</f>
        <v/>
      </c>
      <c r="P23" s="22">
        <f>ROUND(S23*IF(B23="Boss",$C$8,1),0)</f>
        <v/>
      </c>
      <c r="Q23" s="20">
        <f>IF(O23&gt;=P23,"PASS","FAIL")</f>
        <v/>
      </c>
      <c r="R23" s="22">
        <f>INDEX($G$6:$G$11,INT((A23-1)/4)+1)</f>
        <v/>
      </c>
      <c r="S23" s="22">
        <f>S22*R23</f>
        <v/>
      </c>
    </row>
    <row r="24">
      <c r="A24" s="5" t="n">
        <v>9</v>
      </c>
      <c r="B24" s="5" t="inlineStr">
        <is>
          <t>Regular</t>
        </is>
      </c>
      <c r="C24" s="5" t="inlineStr">
        <is>
          <t>+ly (back)</t>
        </is>
      </c>
      <c r="D24" s="5" t="inlineStr">
        <is>
          <t>informal~lyrically</t>
        </is>
      </c>
      <c r="E24" s="6" t="n">
        <v>1</v>
      </c>
      <c r="F24" s="6" t="n">
        <v>7</v>
      </c>
      <c r="G24" s="6" t="n">
        <v>30</v>
      </c>
      <c r="H24" s="6" t="n"/>
      <c r="I24" s="6" t="inlineStr">
        <is>
          <t>N</t>
        </is>
      </c>
      <c r="J24" s="6" t="inlineStr">
        <is>
          <t>-</t>
        </is>
      </c>
      <c r="K24" s="16">
        <f>F24-IF(I24="Y",$C$9,0)</f>
        <v/>
      </c>
      <c r="L24" s="17">
        <f>$C$5^(K24-1)</f>
        <v/>
      </c>
      <c r="M24" s="16">
        <f>IF(J24="2 same side",$C$10,IF(J24="front+back",$C$11,1))</f>
        <v/>
      </c>
      <c r="N24" s="17">
        <f>1+$C$12*INT((A24-1)/4)</f>
        <v/>
      </c>
      <c r="O24" s="18">
        <f>IF(B24="Boss",ROUND(H24*L24*N24,0),ROUND(G24*L24*M24*N24,0))</f>
        <v/>
      </c>
      <c r="P24" s="18">
        <f>ROUND(S24*IF(B24="Boss",$C$8,1),0)</f>
        <v/>
      </c>
      <c r="Q24" s="16">
        <f>IF(O24&gt;=P24,"PASS","FAIL")</f>
        <v/>
      </c>
      <c r="R24" s="18">
        <f>INDEX($G$6:$G$11,INT((A24-1)/4)+1)</f>
        <v/>
      </c>
      <c r="S24" s="18">
        <f>S23*R24</f>
        <v/>
      </c>
    </row>
    <row r="25">
      <c r="A25" s="5" t="n">
        <v>10</v>
      </c>
      <c r="B25" s="5" t="inlineStr">
        <is>
          <t>Regular</t>
        </is>
      </c>
      <c r="C25" s="5" t="inlineStr">
        <is>
          <t>Before &amp; After: ly → lymph</t>
        </is>
      </c>
      <c r="D25" s="5" t="inlineStr">
        <is>
          <t>informal~lyrical~lymph</t>
        </is>
      </c>
      <c r="E25" s="6" t="n">
        <v>1</v>
      </c>
      <c r="F25" s="6" t="n">
        <v>8</v>
      </c>
      <c r="G25" s="6" t="n">
        <v>40</v>
      </c>
      <c r="H25" s="6" t="n"/>
      <c r="I25" s="6" t="inlineStr">
        <is>
          <t>Y</t>
        </is>
      </c>
      <c r="J25" s="6" t="inlineStr">
        <is>
          <t>-</t>
        </is>
      </c>
      <c r="K25" s="16">
        <f>F25-IF(I25="Y",$C$9,0)</f>
        <v/>
      </c>
      <c r="L25" s="17">
        <f>$C$5^(K25-1)</f>
        <v/>
      </c>
      <c r="M25" s="16">
        <f>IF(J25="2 same side",$C$10,IF(J25="front+back",$C$11,1))</f>
        <v/>
      </c>
      <c r="N25" s="17">
        <f>1+$C$12*INT((A25-1)/4)</f>
        <v/>
      </c>
      <c r="O25" s="18">
        <f>IF(B25="Boss",ROUND(H25*L25*N25,0),ROUND(G25*L25*M25*N25,0))</f>
        <v/>
      </c>
      <c r="P25" s="18">
        <f>ROUND(S25*IF(B25="Boss",$C$8,1),0)</f>
        <v/>
      </c>
      <c r="Q25" s="16">
        <f>IF(O25&gt;=P25,"PASS","FAIL")</f>
        <v/>
      </c>
      <c r="R25" s="18">
        <f>INDEX($G$6:$G$11,INT((A25-1)/4)+1)</f>
        <v/>
      </c>
      <c r="S25" s="18">
        <f>S24*R25</f>
        <v/>
      </c>
    </row>
    <row r="26">
      <c r="A26" s="5" t="n">
        <v>11</v>
      </c>
      <c r="B26" s="5" t="inlineStr">
        <is>
          <t>Regular</t>
        </is>
      </c>
      <c r="C26" s="5" t="inlineStr">
        <is>
          <t>+atic (back)</t>
        </is>
      </c>
      <c r="D26" s="5" t="inlineStr">
        <is>
          <t>informal~lyrical~lymphatic</t>
        </is>
      </c>
      <c r="E26" s="6" t="n">
        <v>1</v>
      </c>
      <c r="F26" s="6" t="n">
        <v>9</v>
      </c>
      <c r="G26" s="6" t="n">
        <v>46</v>
      </c>
      <c r="H26" s="6" t="n"/>
      <c r="I26" s="6" t="inlineStr">
        <is>
          <t>N</t>
        </is>
      </c>
      <c r="J26" s="6" t="inlineStr">
        <is>
          <t>-</t>
        </is>
      </c>
      <c r="K26" s="16">
        <f>F26-IF(I26="Y",$C$9,0)</f>
        <v/>
      </c>
      <c r="L26" s="17">
        <f>$C$5^(K26-1)</f>
        <v/>
      </c>
      <c r="M26" s="16">
        <f>IF(J26="2 same side",$C$10,IF(J26="front+back",$C$11,1))</f>
        <v/>
      </c>
      <c r="N26" s="17">
        <f>1+$C$12*INT((A26-1)/4)</f>
        <v/>
      </c>
      <c r="O26" s="18">
        <f>IF(B26="Boss",ROUND(H26*L26*N26,0),ROUND(G26*L26*M26*N26,0))</f>
        <v/>
      </c>
      <c r="P26" s="18">
        <f>ROUND(S26*IF(B26="Boss",$C$8,1),0)</f>
        <v/>
      </c>
      <c r="Q26" s="16">
        <f>IF(O26&gt;=P26,"PASS","FAIL")</f>
        <v/>
      </c>
      <c r="R26" s="18">
        <f>INDEX($G$6:$G$11,INT((A26-1)/4)+1)</f>
        <v/>
      </c>
      <c r="S26" s="18">
        <f>S25*R26</f>
        <v/>
      </c>
    </row>
    <row r="27" ht="42" customHeight="1">
      <c r="A27" s="13" t="n">
        <v>12</v>
      </c>
      <c r="B27" s="13" t="inlineStr">
        <is>
          <t>Boss</t>
        </is>
      </c>
      <c r="C27" s="13" t="inlineStr">
        <is>
          <t>B3 — words: film, lamp, hymn, panic, claim, myth, trail</t>
        </is>
      </c>
      <c r="D27" s="13" t="inlineStr">
        <is>
          <t>(starter: last 2 morphemes)</t>
        </is>
      </c>
      <c r="E27" s="19" t="n">
        <v>0</v>
      </c>
      <c r="F27" s="19" t="n">
        <v>9</v>
      </c>
      <c r="G27" s="19" t="n"/>
      <c r="H27" s="19" t="n">
        <v>88</v>
      </c>
      <c r="I27" s="19" t="inlineStr">
        <is>
          <t>N</t>
        </is>
      </c>
      <c r="J27" s="19" t="inlineStr">
        <is>
          <t>-</t>
        </is>
      </c>
      <c r="K27" s="20">
        <f>F27-IF(I27="Y",$C$9,0)</f>
        <v/>
      </c>
      <c r="L27" s="21">
        <f>$C$5^(K27-1)</f>
        <v/>
      </c>
      <c r="M27" s="20">
        <f>IF(J27="2 same side",$C$10,IF(J27="front+back",$C$11,1))</f>
        <v/>
      </c>
      <c r="N27" s="21">
        <f>1+$C$12*INT((A27-1)/4)</f>
        <v/>
      </c>
      <c r="O27" s="22">
        <f>IF(B27="Boss",ROUND(H27*L27*N27,0),ROUND(G27*L27*M27*N27,0))</f>
        <v/>
      </c>
      <c r="P27" s="22">
        <f>ROUND(S27*IF(B27="Boss",$C$8,1),0)</f>
        <v/>
      </c>
      <c r="Q27" s="20">
        <f>IF(O27&gt;=P27,"PASS","FAIL")</f>
        <v/>
      </c>
      <c r="R27" s="22">
        <f>INDEX($G$6:$G$11,INT((A27-1)/4)+1)</f>
        <v/>
      </c>
      <c r="S27" s="22">
        <f>S26*R27</f>
        <v/>
      </c>
    </row>
    <row r="28">
      <c r="A28" s="5" t="n">
        <v>13</v>
      </c>
      <c r="B28" s="5" t="inlineStr">
        <is>
          <t>Regular</t>
        </is>
      </c>
      <c r="C28" s="5" t="inlineStr">
        <is>
          <t>Blend: -tic + ticket</t>
        </is>
      </c>
      <c r="D28" s="5" t="inlineStr">
        <is>
          <t>…lymphatic~ket</t>
        </is>
      </c>
      <c r="E28" s="6" t="n">
        <v>1</v>
      </c>
      <c r="F28" s="6" t="n">
        <v>10</v>
      </c>
      <c r="G28" s="6" t="n">
        <v>53</v>
      </c>
      <c r="H28" s="6" t="n"/>
      <c r="I28" s="6" t="inlineStr">
        <is>
          <t>Y</t>
        </is>
      </c>
      <c r="J28" s="6" t="inlineStr">
        <is>
          <t>-</t>
        </is>
      </c>
      <c r="K28" s="16">
        <f>F28-IF(I28="Y",$C$9,0)</f>
        <v/>
      </c>
      <c r="L28" s="17">
        <f>$C$5^(K28-1)</f>
        <v/>
      </c>
      <c r="M28" s="16">
        <f>IF(J28="2 same side",$C$10,IF(J28="front+back",$C$11,1))</f>
        <v/>
      </c>
      <c r="N28" s="17">
        <f>1+$C$12*INT((A28-1)/4)</f>
        <v/>
      </c>
      <c r="O28" s="18">
        <f>IF(B28="Boss",ROUND(H28*L28*N28,0),ROUND(G28*L28*M28*N28,0))</f>
        <v/>
      </c>
      <c r="P28" s="18">
        <f>ROUND(S28*IF(B28="Boss",$C$8,1),0)</f>
        <v/>
      </c>
      <c r="Q28" s="16">
        <f>IF(O28&gt;=P28,"PASS","FAIL")</f>
        <v/>
      </c>
      <c r="R28" s="18">
        <f>INDEX($G$6:$G$11,INT((A28-1)/4)+1)</f>
        <v/>
      </c>
      <c r="S28" s="18">
        <f>S27*R28</f>
        <v/>
      </c>
    </row>
    <row r="29">
      <c r="A29" s="5" t="n">
        <v>14</v>
      </c>
      <c r="B29" s="5" t="inlineStr">
        <is>
          <t>Regular</t>
        </is>
      </c>
      <c r="C29" s="5" t="inlineStr">
        <is>
          <t>+s (back)</t>
        </is>
      </c>
      <c r="D29" s="5" t="inlineStr">
        <is>
          <t>…lymphaticket~s</t>
        </is>
      </c>
      <c r="E29" s="6" t="n">
        <v>1</v>
      </c>
      <c r="F29" s="6" t="n">
        <v>11</v>
      </c>
      <c r="G29" s="6" t="n">
        <v>54</v>
      </c>
      <c r="H29" s="6" t="n"/>
      <c r="I29" s="6" t="inlineStr">
        <is>
          <t>N</t>
        </is>
      </c>
      <c r="J29" s="6" t="inlineStr">
        <is>
          <t>-</t>
        </is>
      </c>
      <c r="K29" s="16">
        <f>F29-IF(I29="Y",$C$9,0)</f>
        <v/>
      </c>
      <c r="L29" s="17">
        <f>$C$5^(K29-1)</f>
        <v/>
      </c>
      <c r="M29" s="16">
        <f>IF(J29="2 same side",$C$10,IF(J29="front+back",$C$11,1))</f>
        <v/>
      </c>
      <c r="N29" s="17">
        <f>1+$C$12*INT((A29-1)/4)</f>
        <v/>
      </c>
      <c r="O29" s="18">
        <f>IF(B29="Boss",ROUND(H29*L29*N29,0),ROUND(G29*L29*M29*N29,0))</f>
        <v/>
      </c>
      <c r="P29" s="18">
        <f>ROUND(S29*IF(B29="Boss",$C$8,1),0)</f>
        <v/>
      </c>
      <c r="Q29" s="16">
        <f>IF(O29&gt;=P29,"PASS","FAIL")</f>
        <v/>
      </c>
      <c r="R29" s="18">
        <f>INDEX($G$6:$G$11,INT((A29-1)/4)+1)</f>
        <v/>
      </c>
      <c r="S29" s="18">
        <f>S28*R29</f>
        <v/>
      </c>
    </row>
    <row r="30">
      <c r="A30" s="5" t="n">
        <v>15</v>
      </c>
      <c r="B30" s="5" t="inlineStr">
        <is>
          <t>Regular</t>
        </is>
      </c>
      <c r="C30" s="5" t="inlineStr">
        <is>
          <t>Before &amp; After: s → sing</t>
        </is>
      </c>
      <c r="D30" s="5" t="inlineStr">
        <is>
          <t>…tickets~ing</t>
        </is>
      </c>
      <c r="E30" s="6" t="n">
        <v>1</v>
      </c>
      <c r="F30" s="6" t="n">
        <v>12</v>
      </c>
      <c r="G30" s="6" t="n">
        <v>58</v>
      </c>
      <c r="H30" s="6" t="n"/>
      <c r="I30" s="6" t="inlineStr">
        <is>
          <t>Y</t>
        </is>
      </c>
      <c r="J30" s="6" t="inlineStr">
        <is>
          <t>-</t>
        </is>
      </c>
      <c r="K30" s="16">
        <f>F30-IF(I30="Y",$C$9,0)</f>
        <v/>
      </c>
      <c r="L30" s="17">
        <f>$C$5^(K30-1)</f>
        <v/>
      </c>
      <c r="M30" s="16">
        <f>IF(J30="2 same side",$C$10,IF(J30="front+back",$C$11,1))</f>
        <v/>
      </c>
      <c r="N30" s="17">
        <f>1+$C$12*INT((A30-1)/4)</f>
        <v/>
      </c>
      <c r="O30" s="18">
        <f>IF(B30="Boss",ROUND(H30*L30*N30,0),ROUND(G30*L30*M30*N30,0))</f>
        <v/>
      </c>
      <c r="P30" s="18">
        <f>ROUND(S30*IF(B30="Boss",$C$8,1),0)</f>
        <v/>
      </c>
      <c r="Q30" s="16">
        <f>IF(O30&gt;=P30,"PASS","FAIL")</f>
        <v/>
      </c>
      <c r="R30" s="18">
        <f>INDEX($G$6:$G$11,INT((A30-1)/4)+1)</f>
        <v/>
      </c>
      <c r="S30" s="18">
        <f>S29*R30</f>
        <v/>
      </c>
    </row>
    <row r="31" ht="42" customHeight="1">
      <c r="A31" s="13" t="n">
        <v>16</v>
      </c>
      <c r="B31" s="13" t="inlineStr">
        <is>
          <t>Boss</t>
        </is>
      </c>
      <c r="C31" s="13" t="inlineStr">
        <is>
          <t>B4 — words: stick, mint, fancy, prism, latch, slick, tramp, gain</t>
        </is>
      </c>
      <c r="D31" s="13" t="inlineStr">
        <is>
          <t>(starter: last morpheme)</t>
        </is>
      </c>
      <c r="E31" s="19" t="n">
        <v>0</v>
      </c>
      <c r="F31" s="19" t="n">
        <v>12</v>
      </c>
      <c r="G31" s="19" t="n"/>
      <c r="H31" s="19" t="n">
        <v>110</v>
      </c>
      <c r="I31" s="19" t="inlineStr">
        <is>
          <t>N</t>
        </is>
      </c>
      <c r="J31" s="19" t="inlineStr">
        <is>
          <t>-</t>
        </is>
      </c>
      <c r="K31" s="20">
        <f>F31-IF(I31="Y",$C$9,0)</f>
        <v/>
      </c>
      <c r="L31" s="21">
        <f>$C$5^(K31-1)</f>
        <v/>
      </c>
      <c r="M31" s="20">
        <f>IF(J31="2 same side",$C$10,IF(J31="front+back",$C$11,1))</f>
        <v/>
      </c>
      <c r="N31" s="21">
        <f>1+$C$12*INT((A31-1)/4)</f>
        <v/>
      </c>
      <c r="O31" s="22">
        <f>IF(B31="Boss",ROUND(H31*L31*N31,0),ROUND(G31*L31*M31*N31,0))</f>
        <v/>
      </c>
      <c r="P31" s="22">
        <f>ROUND(S31*IF(B31="Boss",$C$8,1),0)</f>
        <v/>
      </c>
      <c r="Q31" s="20">
        <f>IF(O31&gt;=P31,"PASS","FAIL")</f>
        <v/>
      </c>
      <c r="R31" s="22">
        <f>INDEX($G$6:$G$11,INT((A31-1)/4)+1)</f>
        <v/>
      </c>
      <c r="S31" s="22">
        <f>S30*R31</f>
        <v/>
      </c>
    </row>
    <row r="32" ht="28" customHeight="1">
      <c r="A32" s="5" t="n">
        <v>17</v>
      </c>
      <c r="B32" s="5" t="inlineStr">
        <is>
          <t>Regular</t>
        </is>
      </c>
      <c r="C32" s="5" t="inlineStr">
        <is>
          <t>+er, +s (back, 2 steps)</t>
        </is>
      </c>
      <c r="D32" s="5" t="inlineStr">
        <is>
          <t>…sing~ers</t>
        </is>
      </c>
      <c r="E32" s="6" t="n">
        <v>2</v>
      </c>
      <c r="F32" s="6" t="n">
        <v>14</v>
      </c>
      <c r="G32" s="6" t="n">
        <v>61</v>
      </c>
      <c r="H32" s="6" t="n"/>
      <c r="I32" s="6" t="inlineStr">
        <is>
          <t>N</t>
        </is>
      </c>
      <c r="J32" s="6" t="inlineStr">
        <is>
          <t>2 same side</t>
        </is>
      </c>
      <c r="K32" s="16">
        <f>F32-IF(I32="Y",$C$9,0)</f>
        <v/>
      </c>
      <c r="L32" s="17">
        <f>$C$5^(K32-1)</f>
        <v/>
      </c>
      <c r="M32" s="16">
        <f>IF(J32="2 same side",$C$10,IF(J32="front+back",$C$11,1))</f>
        <v/>
      </c>
      <c r="N32" s="17">
        <f>1+$C$12*INT((A32-1)/4)</f>
        <v/>
      </c>
      <c r="O32" s="18">
        <f>IF(B32="Boss",ROUND(H32*L32*N32,0),ROUND(G32*L32*M32*N32,0))</f>
        <v/>
      </c>
      <c r="P32" s="18">
        <f>ROUND(S32*IF(B32="Boss",$C$8,1),0)</f>
        <v/>
      </c>
      <c r="Q32" s="16">
        <f>IF(O32&gt;=P32,"PASS","FAIL")</f>
        <v/>
      </c>
      <c r="R32" s="18">
        <f>INDEX($G$6:$G$11,INT((A32-1)/4)+1)</f>
        <v/>
      </c>
      <c r="S32" s="18">
        <f>S31*R32</f>
        <v/>
      </c>
    </row>
    <row r="33">
      <c r="A33" s="5" t="n">
        <v>18</v>
      </c>
      <c r="B33" s="5" t="inlineStr">
        <is>
          <t>Regular</t>
        </is>
      </c>
      <c r="C33" s="5" t="inlineStr">
        <is>
          <t>Before &amp; After: s → sun</t>
        </is>
      </c>
      <c r="D33" s="5" t="inlineStr">
        <is>
          <t>…singers~un</t>
        </is>
      </c>
      <c r="E33" s="6" t="n">
        <v>1</v>
      </c>
      <c r="F33" s="6" t="n">
        <v>15</v>
      </c>
      <c r="G33" s="6" t="n">
        <v>63</v>
      </c>
      <c r="H33" s="6" t="n"/>
      <c r="I33" s="6" t="inlineStr">
        <is>
          <t>Y</t>
        </is>
      </c>
      <c r="J33" s="6" t="inlineStr">
        <is>
          <t>-</t>
        </is>
      </c>
      <c r="K33" s="16">
        <f>F33-IF(I33="Y",$C$9,0)</f>
        <v/>
      </c>
      <c r="L33" s="17">
        <f>$C$5^(K33-1)</f>
        <v/>
      </c>
      <c r="M33" s="16">
        <f>IF(J33="2 same side",$C$10,IF(J33="front+back",$C$11,1))</f>
        <v/>
      </c>
      <c r="N33" s="17">
        <f>1+$C$12*INT((A33-1)/4)</f>
        <v/>
      </c>
      <c r="O33" s="18">
        <f>IF(B33="Boss",ROUND(H33*L33*N33,0),ROUND(G33*L33*M33*N33,0))</f>
        <v/>
      </c>
      <c r="P33" s="18">
        <f>ROUND(S33*IF(B33="Boss",$C$8,1),0)</f>
        <v/>
      </c>
      <c r="Q33" s="16">
        <f>IF(O33&gt;=P33,"PASS","FAIL")</f>
        <v/>
      </c>
      <c r="R33" s="18">
        <f>INDEX($G$6:$G$11,INT((A33-1)/4)+1)</f>
        <v/>
      </c>
      <c r="S33" s="18">
        <f>S32*R33</f>
        <v/>
      </c>
    </row>
    <row r="34">
      <c r="A34" s="5" t="n">
        <v>19</v>
      </c>
      <c r="B34" s="5" t="inlineStr">
        <is>
          <t>Regular</t>
        </is>
      </c>
      <c r="C34" s="5" t="inlineStr">
        <is>
          <t>+ny (back)</t>
        </is>
      </c>
      <c r="D34" s="5" t="inlineStr">
        <is>
          <t>…sun~ny</t>
        </is>
      </c>
      <c r="E34" s="6" t="n">
        <v>1</v>
      </c>
      <c r="F34" s="6" t="n">
        <v>16</v>
      </c>
      <c r="G34" s="6" t="n">
        <v>68</v>
      </c>
      <c r="H34" s="6" t="n"/>
      <c r="I34" s="6" t="inlineStr">
        <is>
          <t>N</t>
        </is>
      </c>
      <c r="J34" s="6" t="inlineStr">
        <is>
          <t>-</t>
        </is>
      </c>
      <c r="K34" s="16">
        <f>F34-IF(I34="Y",$C$9,0)</f>
        <v/>
      </c>
      <c r="L34" s="17">
        <f>$C$5^(K34-1)</f>
        <v/>
      </c>
      <c r="M34" s="16">
        <f>IF(J34="2 same side",$C$10,IF(J34="front+back",$C$11,1))</f>
        <v/>
      </c>
      <c r="N34" s="17">
        <f>1+$C$12*INT((A34-1)/4)</f>
        <v/>
      </c>
      <c r="O34" s="18">
        <f>IF(B34="Boss",ROUND(H34*L34*N34,0),ROUND(G34*L34*M34*N34,0))</f>
        <v/>
      </c>
      <c r="P34" s="18">
        <f>ROUND(S34*IF(B34="Boss",$C$8,1),0)</f>
        <v/>
      </c>
      <c r="Q34" s="16">
        <f>IF(O34&gt;=P34,"PASS","FAIL")</f>
        <v/>
      </c>
      <c r="R34" s="18">
        <f>INDEX($G$6:$G$11,INT((A34-1)/4)+1)</f>
        <v/>
      </c>
      <c r="S34" s="18">
        <f>S33*R34</f>
        <v/>
      </c>
    </row>
    <row r="35" ht="42" customHeight="1">
      <c r="A35" s="13" t="n">
        <v>20</v>
      </c>
      <c r="B35" s="13" t="inlineStr">
        <is>
          <t>Boss</t>
        </is>
      </c>
      <c r="C35" s="13" t="inlineStr">
        <is>
          <t>B5 — words: sunny, rest, chimp, glint, taken, faint, lyric, spam, gnat</t>
        </is>
      </c>
      <c r="D35" s="13" t="inlineStr">
        <is>
          <t>(starter: last morpheme)</t>
        </is>
      </c>
      <c r="E35" s="19" t="n">
        <v>0</v>
      </c>
      <c r="F35" s="19" t="n">
        <v>16</v>
      </c>
      <c r="G35" s="19" t="n"/>
      <c r="H35" s="19" t="n">
        <v>135</v>
      </c>
      <c r="I35" s="19" t="inlineStr">
        <is>
          <t>N</t>
        </is>
      </c>
      <c r="J35" s="19" t="inlineStr">
        <is>
          <t>-</t>
        </is>
      </c>
      <c r="K35" s="20">
        <f>F35-IF(I35="Y",$C$9,0)</f>
        <v/>
      </c>
      <c r="L35" s="21">
        <f>$C$5^(K35-1)</f>
        <v/>
      </c>
      <c r="M35" s="20">
        <f>IF(J35="2 same side",$C$10,IF(J35="front+back",$C$11,1))</f>
        <v/>
      </c>
      <c r="N35" s="21">
        <f>1+$C$12*INT((A35-1)/4)</f>
        <v/>
      </c>
      <c r="O35" s="22">
        <f>IF(B35="Boss",ROUND(H35*L35*N35,0),ROUND(G35*L35*M35*N35,0))</f>
        <v/>
      </c>
      <c r="P35" s="22">
        <f>ROUND(S35*IF(B35="Boss",$C$8,1),0)</f>
        <v/>
      </c>
      <c r="Q35" s="20">
        <f>IF(O35&gt;=P35,"PASS","FAIL")</f>
        <v/>
      </c>
      <c r="R35" s="22">
        <f>INDEX($G$6:$G$11,INT((A35-1)/4)+1)</f>
        <v/>
      </c>
      <c r="S35" s="22">
        <f>S34*R35</f>
        <v/>
      </c>
    </row>
    <row r="36" ht="28" customHeight="1">
      <c r="A36" s="5" t="n">
        <v>21</v>
      </c>
      <c r="B36" s="5" t="inlineStr">
        <is>
          <t>Regular</t>
        </is>
      </c>
      <c r="C36" s="5" t="inlineStr">
        <is>
          <t>Before &amp; After: ny → nymph</t>
        </is>
      </c>
      <c r="D36" s="5" t="inlineStr">
        <is>
          <t>…sunny~mph</t>
        </is>
      </c>
      <c r="E36" s="6" t="n">
        <v>1</v>
      </c>
      <c r="F36" s="6" t="n">
        <v>17</v>
      </c>
      <c r="G36" s="6" t="n">
        <v>82</v>
      </c>
      <c r="H36" s="6" t="n"/>
      <c r="I36" s="6" t="inlineStr">
        <is>
          <t>Y</t>
        </is>
      </c>
      <c r="J36" s="6" t="inlineStr">
        <is>
          <t>-</t>
        </is>
      </c>
      <c r="K36" s="16">
        <f>F36-IF(I36="Y",$C$9,0)</f>
        <v/>
      </c>
      <c r="L36" s="17">
        <f>$C$5^(K36-1)</f>
        <v/>
      </c>
      <c r="M36" s="16">
        <f>IF(J36="2 same side",$C$10,IF(J36="front+back",$C$11,1))</f>
        <v/>
      </c>
      <c r="N36" s="17">
        <f>1+$C$12*INT((A36-1)/4)</f>
        <v/>
      </c>
      <c r="O36" s="18">
        <f>IF(B36="Boss",ROUND(H36*L36*N36,0),ROUND(G36*L36*M36*N36,0))</f>
        <v/>
      </c>
      <c r="P36" s="18">
        <f>ROUND(S36*IF(B36="Boss",$C$8,1),0)</f>
        <v/>
      </c>
      <c r="Q36" s="16">
        <f>IF(O36&gt;=P36,"PASS","FAIL")</f>
        <v/>
      </c>
      <c r="R36" s="18">
        <f>INDEX($G$6:$G$11,INT((A36-1)/4)+1)</f>
        <v/>
      </c>
      <c r="S36" s="18">
        <f>S35*R36</f>
        <v/>
      </c>
    </row>
    <row r="37">
      <c r="A37" s="5" t="n">
        <v>22</v>
      </c>
      <c r="B37" s="5" t="inlineStr">
        <is>
          <t>Regular</t>
        </is>
      </c>
      <c r="C37" s="5" t="inlineStr">
        <is>
          <t>+s (back)</t>
        </is>
      </c>
      <c r="D37" s="5" t="inlineStr">
        <is>
          <t>…nymph~s</t>
        </is>
      </c>
      <c r="E37" s="6" t="n">
        <v>1</v>
      </c>
      <c r="F37" s="6" t="n">
        <v>18</v>
      </c>
      <c r="G37" s="6" t="n">
        <v>83</v>
      </c>
      <c r="H37" s="6" t="n"/>
      <c r="I37" s="6" t="inlineStr">
        <is>
          <t>N</t>
        </is>
      </c>
      <c r="J37" s="6" t="inlineStr">
        <is>
          <t>-</t>
        </is>
      </c>
      <c r="K37" s="16">
        <f>F37-IF(I37="Y",$C$9,0)</f>
        <v/>
      </c>
      <c r="L37" s="17">
        <f>$C$5^(K37-1)</f>
        <v/>
      </c>
      <c r="M37" s="16">
        <f>IF(J37="2 same side",$C$10,IF(J37="front+back",$C$11,1))</f>
        <v/>
      </c>
      <c r="N37" s="17">
        <f>1+$C$12*INT((A37-1)/4)</f>
        <v/>
      </c>
      <c r="O37" s="18">
        <f>IF(B37="Boss",ROUND(H37*L37*N37,0),ROUND(G37*L37*M37*N37,0))</f>
        <v/>
      </c>
      <c r="P37" s="18">
        <f>ROUND(S37*IF(B37="Boss",$C$8,1),0)</f>
        <v/>
      </c>
      <c r="Q37" s="16">
        <f>IF(O37&gt;=P37,"PASS","FAIL")</f>
        <v/>
      </c>
      <c r="R37" s="18">
        <f>INDEX($G$6:$G$11,INT((A37-1)/4)+1)</f>
        <v/>
      </c>
      <c r="S37" s="18">
        <f>S36*R37</f>
        <v/>
      </c>
    </row>
    <row r="38">
      <c r="A38" s="5" t="n">
        <v>23</v>
      </c>
      <c r="B38" s="5" t="inlineStr">
        <is>
          <t>Regular</t>
        </is>
      </c>
      <c r="C38" s="5" t="inlineStr">
        <is>
          <t>Before &amp; After: s → sea</t>
        </is>
      </c>
      <c r="D38" s="5" t="inlineStr">
        <is>
          <t>…nymphs~ea</t>
        </is>
      </c>
      <c r="E38" s="6" t="n">
        <v>1</v>
      </c>
      <c r="F38" s="6" t="n">
        <v>19</v>
      </c>
      <c r="G38" s="6" t="n">
        <v>85</v>
      </c>
      <c r="H38" s="6" t="n"/>
      <c r="I38" s="6" t="inlineStr">
        <is>
          <t>Y</t>
        </is>
      </c>
      <c r="J38" s="6" t="inlineStr">
        <is>
          <t>-</t>
        </is>
      </c>
      <c r="K38" s="16">
        <f>F38-IF(I38="Y",$C$9,0)</f>
        <v/>
      </c>
      <c r="L38" s="17">
        <f>$C$5^(K38-1)</f>
        <v/>
      </c>
      <c r="M38" s="16">
        <f>IF(J38="2 same side",$C$10,IF(J38="front+back",$C$11,1))</f>
        <v/>
      </c>
      <c r="N38" s="17">
        <f>1+$C$12*INT((A38-1)/4)</f>
        <v/>
      </c>
      <c r="O38" s="18">
        <f>IF(B38="Boss",ROUND(H38*L38*N38,0),ROUND(G38*L38*M38*N38,0))</f>
        <v/>
      </c>
      <c r="P38" s="18">
        <f>ROUND(S38*IF(B38="Boss",$C$8,1),0)</f>
        <v/>
      </c>
      <c r="Q38" s="16">
        <f>IF(O38&gt;=P38,"PASS","FAIL")</f>
        <v/>
      </c>
      <c r="R38" s="18">
        <f>INDEX($G$6:$G$11,INT((A38-1)/4)+1)</f>
        <v/>
      </c>
      <c r="S38" s="18">
        <f>S37*R38</f>
        <v/>
      </c>
    </row>
    <row r="39" ht="56" customHeight="1">
      <c r="A39" s="13" t="n">
        <v>24</v>
      </c>
      <c r="B39" s="13" t="inlineStr">
        <is>
          <t>Boss</t>
        </is>
      </c>
      <c r="C39" s="13" t="inlineStr">
        <is>
          <t>B6 (final) — words: plunge, stink, chasm, fairy, tempt, glean, hymns, crisp, lynch, kept</t>
        </is>
      </c>
      <c r="D39" s="13" t="inlineStr">
        <is>
          <t>(starter: last morpheme)</t>
        </is>
      </c>
      <c r="E39" s="19" t="n">
        <v>0</v>
      </c>
      <c r="F39" s="19" t="n">
        <v>19</v>
      </c>
      <c r="G39" s="19" t="n"/>
      <c r="H39" s="19" t="n">
        <v>170</v>
      </c>
      <c r="I39" s="19" t="inlineStr">
        <is>
          <t>N</t>
        </is>
      </c>
      <c r="J39" s="19" t="inlineStr">
        <is>
          <t>-</t>
        </is>
      </c>
      <c r="K39" s="20">
        <f>F39-IF(I39="Y",$C$9,0)</f>
        <v/>
      </c>
      <c r="L39" s="21">
        <f>$C$5^(K39-1)</f>
        <v/>
      </c>
      <c r="M39" s="20">
        <f>IF(J39="2 same side",$C$10,IF(J39="front+back",$C$11,1))</f>
        <v/>
      </c>
      <c r="N39" s="21">
        <f>1+$C$12*INT((A39-1)/4)</f>
        <v/>
      </c>
      <c r="O39" s="22">
        <f>IF(B39="Boss",ROUND(H39*L39*N39,0),ROUND(G39*L39*M39*N39,0))</f>
        <v/>
      </c>
      <c r="P39" s="22">
        <f>ROUND(S39*IF(B39="Boss",$C$8,1),0)</f>
        <v/>
      </c>
      <c r="Q39" s="20">
        <f>IF(O39&gt;=P39,"PASS","FAIL")</f>
        <v/>
      </c>
      <c r="R39" s="22">
        <f>INDEX($G$6:$G$11,INT((A39-1)/4)+1)</f>
        <v/>
      </c>
      <c r="S39" s="22">
        <f>S38*R39</f>
        <v/>
      </c>
    </row>
    <row r="40">
      <c r="N40" s="9" t="inlineStr">
        <is>
          <t>Rounds passed</t>
        </is>
      </c>
      <c r="O40" s="9">
        <f>COUNTIF(Q16:Q39,"PASS")</f>
        <v/>
      </c>
      <c r="P40" s="9">
        <f>COUNTA(A16:A39)</f>
        <v/>
      </c>
    </row>
    <row r="42" ht="409.6" customHeight="1">
      <c r="A42" s="10" t="inlineStr">
        <is>
          <t>Word points are the sum of Scrabble base values over every letter in the chain (chain joins share letters, e.g. 'ly' in informally→lyric; Blend shares 'tic'). Boss word points are the sum of base values of the example words placed — no tile modifiers assumed.</t>
        </is>
      </c>
    </row>
    <row r="43" ht="356" customHeight="1">
      <c r="A43" s="10" t="inlineStr">
        <is>
          <t>Ext. card used = Y applies strain (effective morphemes −1 for that round only). Ext. bonus type: '2 same side' or 'front+back'. In-run mult = 1 + per-boss gain × bosses beaten so far.</t>
        </is>
      </c>
    </row>
    <row r="44" ht="409.6" customHeight="1">
      <c r="A44" s="10" t="inlineStr">
        <is>
          <t>Reading the scenario: with no card multipliers or tile modifiers the run passes with a margin that narrows in the late game — which is where in-run modifiers and tile loadouts are meant to carry the score. Tune the yellow parameters to change the difficulty curve.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9"/>
  <sheetViews>
    <sheetView showGridLines="0" workbookViewId="0">
      <selection activeCell="A1" sqref="A1"/>
    </sheetView>
  </sheetViews>
  <sheetFormatPr baseColWidth="10" defaultColWidth="8.83203125" defaultRowHeight="15"/>
  <cols>
    <col width="24" customWidth="1" min="1" max="1"/>
    <col width="14" customWidth="1" min="2" max="2"/>
    <col width="52" customWidth="1" min="3" max="3"/>
    <col width="18" customWidth="1" min="4" max="4"/>
    <col width="40" customWidth="1" min="5" max="5"/>
  </cols>
  <sheetData>
    <row r="1" ht="18" customHeight="1">
      <c r="A1" s="1" t="inlineStr">
        <is>
          <t>Achievements</t>
        </is>
      </c>
    </row>
    <row r="2">
      <c r="A2" s="2" t="inlineStr">
        <is>
          <t>Checked automatically at the end of each run. Rewards: card unlocks, in-run modifier unlocks, Lexicon points, loadout budget growth, challenge modifier unlocks.</t>
        </is>
      </c>
    </row>
    <row r="4">
      <c r="A4" s="4" t="inlineStr">
        <is>
          <t>Achievement</t>
        </is>
      </c>
      <c r="B4" s="4" t="inlineStr">
        <is>
          <t>Category</t>
        </is>
      </c>
      <c r="C4" s="4" t="inlineStr">
        <is>
          <t>Condition</t>
        </is>
      </c>
      <c r="D4" s="4" t="inlineStr">
        <is>
          <t>Reward type</t>
        </is>
      </c>
      <c r="E4" s="4" t="inlineStr">
        <is>
          <t>Reward</t>
        </is>
      </c>
    </row>
    <row r="5">
      <c r="A5" s="5" t="inlineStr">
        <is>
          <t>First Word</t>
        </is>
      </c>
      <c r="B5" s="5" t="inlineStr">
        <is>
          <t>Progression</t>
        </is>
      </c>
      <c r="C5" s="5" t="inlineStr">
        <is>
          <t>Clear round 1.</t>
        </is>
      </c>
      <c r="D5" s="5" t="inlineStr">
        <is>
          <t>Card unlock</t>
        </is>
      </c>
      <c r="E5" s="5" t="inlineStr">
        <is>
          <t>Vowel Shift, Loanword</t>
        </is>
      </c>
    </row>
    <row r="6">
      <c r="A6" s="7" t="inlineStr">
        <is>
          <t>First Blood</t>
        </is>
      </c>
      <c r="B6" s="7" t="inlineStr">
        <is>
          <t>Progression</t>
        </is>
      </c>
      <c r="C6" s="7" t="inlineStr">
        <is>
          <t>Beat B1.</t>
        </is>
      </c>
      <c r="D6" s="7" t="inlineStr">
        <is>
          <t>Card unlock + points</t>
        </is>
      </c>
      <c r="E6" s="7" t="inlineStr">
        <is>
          <t>Before &amp; After Deluxe pool entry; +2 Lexicon</t>
        </is>
      </c>
    </row>
    <row r="7">
      <c r="A7" s="5" t="inlineStr">
        <is>
          <t>Halfway</t>
        </is>
      </c>
      <c r="B7" s="5" t="inlineStr">
        <is>
          <t>Progression</t>
        </is>
      </c>
      <c r="C7" s="5" t="inlineStr">
        <is>
          <t>Beat B3.</t>
        </is>
      </c>
      <c r="D7" s="5" t="inlineStr">
        <is>
          <t>Loadout budget</t>
        </is>
      </c>
      <c r="E7" s="5" t="inlineStr">
        <is>
          <t>+1 loadout point</t>
        </is>
      </c>
    </row>
    <row r="8">
      <c r="A8" s="7" t="inlineStr">
        <is>
          <t>Sesquipedalian</t>
        </is>
      </c>
      <c r="B8" s="7" t="inlineStr">
        <is>
          <t>Progression</t>
        </is>
      </c>
      <c r="C8" s="7" t="inlineStr">
        <is>
          <t>Build a word/chain of 6+ morphemes.</t>
        </is>
      </c>
      <c r="D8" s="7" t="inlineStr">
        <is>
          <t>In-run unlock</t>
        </is>
      </c>
      <c r="E8" s="7" t="inlineStr">
        <is>
          <t>Agglutination</t>
        </is>
      </c>
    </row>
    <row r="9">
      <c r="A9" s="5" t="inlineStr">
        <is>
          <t>Twenty Letters</t>
        </is>
      </c>
      <c r="B9" s="5" t="inlineStr">
        <is>
          <t>Progression</t>
        </is>
      </c>
      <c r="C9" s="5" t="inlineStr">
        <is>
          <t>Build a chain of 20+ letters.</t>
        </is>
      </c>
      <c r="D9" s="5" t="inlineStr">
        <is>
          <t>In-run unlock</t>
        </is>
      </c>
      <c r="E9" s="5" t="inlineStr">
        <is>
          <t>Sesquipedalian</t>
        </is>
      </c>
    </row>
    <row r="10">
      <c r="A10" s="7" t="inlineStr">
        <is>
          <t>Grammarian's Nightmare</t>
        </is>
      </c>
      <c r="B10" s="7" t="inlineStr">
        <is>
          <t>Progression</t>
        </is>
      </c>
      <c r="C10" s="7" t="inlineStr">
        <is>
          <t>Beat 4 different boss modifiers.</t>
        </is>
      </c>
      <c r="D10" s="7" t="inlineStr">
        <is>
          <t>Points</t>
        </is>
      </c>
      <c r="E10" s="7" t="inlineStr">
        <is>
          <t>+3 Lexicon</t>
        </is>
      </c>
    </row>
    <row r="11" ht="28" customHeight="1">
      <c r="A11" s="5" t="inlineStr">
        <is>
          <t>Victory</t>
        </is>
      </c>
      <c r="B11" s="5" t="inlineStr">
        <is>
          <t>Progression</t>
        </is>
      </c>
      <c r="C11" s="5" t="inlineStr">
        <is>
          <t>Win a run.</t>
        </is>
      </c>
      <c r="D11" s="5" t="inlineStr">
        <is>
          <t>Unlock + budget</t>
        </is>
      </c>
      <c r="E11" s="5" t="inlineStr">
        <is>
          <t>Challenge modifiers unlocked; +2 loadout points; +5 Lexicon</t>
        </is>
      </c>
    </row>
    <row r="12">
      <c r="A12" s="7" t="inlineStr">
        <is>
          <t>Double Victory</t>
        </is>
      </c>
      <c r="B12" s="7" t="inlineStr">
        <is>
          <t>Progression</t>
        </is>
      </c>
      <c r="C12" s="7" t="inlineStr">
        <is>
          <t>Win 2 runs.</t>
        </is>
      </c>
      <c r="D12" s="7" t="inlineStr">
        <is>
          <t>Card unlock</t>
        </is>
      </c>
      <c r="E12" s="7" t="inlineStr">
        <is>
          <t>Ablaut</t>
        </is>
      </c>
    </row>
    <row r="13">
      <c r="A13" s="5" t="inlineStr">
        <is>
          <t>Chain Master</t>
        </is>
      </c>
      <c r="B13" s="5" t="inlineStr">
        <is>
          <t>Skill</t>
        </is>
      </c>
      <c r="C13" s="5" t="inlineStr">
        <is>
          <t>Use 3 different Extension card types in one run.</t>
        </is>
      </c>
      <c r="D13" s="5" t="inlineStr">
        <is>
          <t>In-run unlock</t>
        </is>
      </c>
      <c r="E13" s="5" t="inlineStr">
        <is>
          <t>Chain Lightning</t>
        </is>
      </c>
    </row>
    <row r="14">
      <c r="A14" s="7" t="inlineStr">
        <is>
          <t>Two-Step</t>
        </is>
      </c>
      <c r="B14" s="7" t="inlineStr">
        <is>
          <t>Skill</t>
        </is>
      </c>
      <c r="C14" s="7" t="inlineStr">
        <is>
          <t>Extend by 2 morphemes in one round.</t>
        </is>
      </c>
      <c r="D14" s="7" t="inlineStr">
        <is>
          <t>Card unlock</t>
        </is>
      </c>
      <c r="E14" s="7" t="inlineStr">
        <is>
          <t>Wildcard Round</t>
        </is>
      </c>
    </row>
    <row r="15">
      <c r="A15" s="5" t="inlineStr">
        <is>
          <t>Both Ends</t>
        </is>
      </c>
      <c r="B15" s="5" t="inlineStr">
        <is>
          <t>Skill</t>
        </is>
      </c>
      <c r="C15" s="5" t="inlineStr">
        <is>
          <t>Extend front and back in one round.</t>
        </is>
      </c>
      <c r="D15" s="5" t="inlineStr">
        <is>
          <t>In-run unlock</t>
        </is>
      </c>
      <c r="E15" s="5" t="inlineStr">
        <is>
          <t>Mirror</t>
        </is>
      </c>
    </row>
    <row r="16">
      <c r="A16" s="7" t="inlineStr">
        <is>
          <t>Triple Step</t>
        </is>
      </c>
      <c r="B16" s="7" t="inlineStr">
        <is>
          <t>Skill</t>
        </is>
      </c>
      <c r="C16" s="7" t="inlineStr">
        <is>
          <t>Extend by 3+ morphemes in one round.</t>
        </is>
      </c>
      <c r="D16" s="7" t="inlineStr">
        <is>
          <t>Points</t>
        </is>
      </c>
      <c r="E16" s="7" t="inlineStr">
        <is>
          <t>+3 Lexicon</t>
        </is>
      </c>
    </row>
    <row r="17">
      <c r="A17" s="5" t="inlineStr">
        <is>
          <t>Natural Five</t>
        </is>
      </c>
      <c r="B17" s="5" t="inlineStr">
        <is>
          <t>Skill</t>
        </is>
      </c>
      <c r="C17" s="5" t="inlineStr">
        <is>
          <t>Reach a natural (fully real) word of 5 morphemes.</t>
        </is>
      </c>
      <c r="D17" s="5" t="inlineStr">
        <is>
          <t>In-run unlock</t>
        </is>
      </c>
      <c r="E17" s="5" t="inlineStr">
        <is>
          <t>Momentum</t>
        </is>
      </c>
    </row>
    <row r="18">
      <c r="A18" s="7" t="inlineStr">
        <is>
          <t>Natural Seven</t>
        </is>
      </c>
      <c r="B18" s="7" t="inlineStr">
        <is>
          <t>Skill</t>
        </is>
      </c>
      <c r="C18" s="7" t="inlineStr">
        <is>
          <t>Reach a natural word of 7 morphemes.</t>
        </is>
      </c>
      <c r="D18" s="7" t="inlineStr">
        <is>
          <t>Points + unlock</t>
        </is>
      </c>
      <c r="E18" s="7" t="inlineStr">
        <is>
          <t>+5 Lexicon; Polysynthesis</t>
        </is>
      </c>
    </row>
    <row r="19">
      <c r="A19" s="5" t="inlineStr">
        <is>
          <t>Speed Demon</t>
        </is>
      </c>
      <c r="B19" s="5" t="inlineStr">
        <is>
          <t>Skill</t>
        </is>
      </c>
      <c r="C19" s="5" t="inlineStr">
        <is>
          <t>Beat a Boss Round with 30+ seconds remaining.</t>
        </is>
      </c>
      <c r="D19" s="5" t="inlineStr">
        <is>
          <t>In-run unlock</t>
        </is>
      </c>
      <c r="E19" s="5" t="inlineStr">
        <is>
          <t>Double Time</t>
        </is>
      </c>
    </row>
    <row r="20">
      <c r="A20" s="7" t="inlineStr">
        <is>
          <t>Overkill</t>
        </is>
      </c>
      <c r="B20" s="7" t="inlineStr">
        <is>
          <t>Skill</t>
        </is>
      </c>
      <c r="C20" s="7" t="inlineStr">
        <is>
          <t>Beat any threshold by 3×.</t>
        </is>
      </c>
      <c r="D20" s="7" t="inlineStr">
        <is>
          <t>Card unlock</t>
        </is>
      </c>
      <c r="E20" s="7" t="inlineStr">
        <is>
          <t>Bank</t>
        </is>
      </c>
    </row>
    <row r="21">
      <c r="A21" s="5" t="inlineStr">
        <is>
          <t>Boss Overkill</t>
        </is>
      </c>
      <c r="B21" s="5" t="inlineStr">
        <is>
          <t>Skill</t>
        </is>
      </c>
      <c r="C21" s="5" t="inlineStr">
        <is>
          <t>Beat a Boss Round by 2×.</t>
        </is>
      </c>
      <c r="D21" s="5" t="inlineStr">
        <is>
          <t>In-run unlock</t>
        </is>
      </c>
      <c r="E21" s="5" t="inlineStr">
        <is>
          <t>Boss Bounty</t>
        </is>
      </c>
    </row>
    <row r="22">
      <c r="A22" s="7" t="inlineStr">
        <is>
          <t>Ten Words</t>
        </is>
      </c>
      <c r="B22" s="7" t="inlineStr">
        <is>
          <t>Skill</t>
        </is>
      </c>
      <c r="C22" s="7" t="inlineStr">
        <is>
          <t>Place 10 words in a single Boss Round.</t>
        </is>
      </c>
      <c r="D22" s="7" t="inlineStr">
        <is>
          <t>In-run unlock</t>
        </is>
      </c>
      <c r="E22" s="7" t="inlineStr">
        <is>
          <t>Overflow</t>
        </is>
      </c>
    </row>
    <row r="23">
      <c r="A23" s="5" t="inlineStr">
        <is>
          <t>Deathless</t>
        </is>
      </c>
      <c r="B23" s="5" t="inlineStr">
        <is>
          <t>Abstention</t>
        </is>
      </c>
      <c r="C23" s="5" t="inlineStr">
        <is>
          <t>Win a run without losing a life.</t>
        </is>
      </c>
      <c r="D23" s="5" t="inlineStr">
        <is>
          <t>Points + unlock</t>
        </is>
      </c>
      <c r="E23" s="5" t="inlineStr">
        <is>
          <t>+5 Lexicon; Immortal Word</t>
        </is>
      </c>
    </row>
    <row r="24">
      <c r="A24" s="7" t="inlineStr">
        <is>
          <t>Frugal</t>
        </is>
      </c>
      <c r="B24" s="7" t="inlineStr">
        <is>
          <t>Abstention</t>
        </is>
      </c>
      <c r="C24" s="7" t="inlineStr">
        <is>
          <t>Win a run with Treasury at Level 0.</t>
        </is>
      </c>
      <c r="D24" s="7" t="inlineStr">
        <is>
          <t>Points</t>
        </is>
      </c>
      <c r="E24" s="7" t="inlineStr">
        <is>
          <t>+5 Lexicon</t>
        </is>
      </c>
    </row>
    <row r="25">
      <c r="A25" s="5" t="inlineStr">
        <is>
          <t>Lightweight</t>
        </is>
      </c>
      <c r="B25" s="5" t="inlineStr">
        <is>
          <t>Abstention</t>
        </is>
      </c>
      <c r="C25" s="5" t="inlineStr">
        <is>
          <t>Win a run with no Level 4 letters in the loadout.</t>
        </is>
      </c>
      <c r="D25" s="5" t="inlineStr">
        <is>
          <t>Points</t>
        </is>
      </c>
      <c r="E25" s="5" t="inlineStr">
        <is>
          <t>+5 Lexicon</t>
        </is>
      </c>
    </row>
    <row r="26">
      <c r="A26" s="7" t="inlineStr">
        <is>
          <t>Purist's Pride</t>
        </is>
      </c>
      <c r="B26" s="7" t="inlineStr">
        <is>
          <t>Abstention</t>
        </is>
      </c>
      <c r="C26" s="7" t="inlineStr">
        <is>
          <t>Win a run using no Extension cards.</t>
        </is>
      </c>
      <c r="D26" s="7" t="inlineStr">
        <is>
          <t>Points + unlock</t>
        </is>
      </c>
      <c r="E26" s="7" t="inlineStr">
        <is>
          <t>+8 Lexicon; Polyglot</t>
        </is>
      </c>
    </row>
    <row r="27">
      <c r="A27" s="5" t="inlineStr">
        <is>
          <t>Unaided</t>
        </is>
      </c>
      <c r="B27" s="5" t="inlineStr">
        <is>
          <t>Abstention</t>
        </is>
      </c>
      <c r="C27" s="5" t="inlineStr">
        <is>
          <t>Win a run with no pre-run modifiers in the loadout.</t>
        </is>
      </c>
      <c r="D27" s="5" t="inlineStr">
        <is>
          <t>Points + unlock</t>
        </is>
      </c>
      <c r="E27" s="5" t="inlineStr">
        <is>
          <t>+8 Lexicon; +1 loadout point</t>
        </is>
      </c>
    </row>
    <row r="28">
      <c r="A28" s="7" t="inlineStr">
        <is>
          <t>Silent Running</t>
        </is>
      </c>
      <c r="B28" s="7" t="inlineStr">
        <is>
          <t>Abstention</t>
        </is>
      </c>
      <c r="C28" s="7" t="inlineStr">
        <is>
          <t>Win a run using no Sound Shift cards.</t>
        </is>
      </c>
      <c r="D28" s="7" t="inlineStr">
        <is>
          <t>Points</t>
        </is>
      </c>
      <c r="E28" s="7" t="inlineStr">
        <is>
          <t>+4 Lexicon</t>
        </is>
      </c>
    </row>
    <row r="29">
      <c r="A29" s="5" t="inlineStr">
        <is>
          <t>Base Alphabet</t>
        </is>
      </c>
      <c r="B29" s="5" t="inlineStr">
        <is>
          <t>Abstention</t>
        </is>
      </c>
      <c r="C29" s="5" t="inlineStr">
        <is>
          <t>Win a run with every letter at Level 0.</t>
        </is>
      </c>
      <c r="D29" s="5" t="inlineStr">
        <is>
          <t>Points</t>
        </is>
      </c>
      <c r="E29" s="5" t="inlineStr">
        <is>
          <t>+10 Lexicon</t>
        </is>
      </c>
    </row>
    <row r="30">
      <c r="A30" s="7" t="inlineStr">
        <is>
          <t>Polysynthetic</t>
        </is>
      </c>
      <c r="B30" s="7" t="inlineStr">
        <is>
          <t>Easter egg</t>
        </is>
      </c>
      <c r="C30" s="7" t="inlineStr">
        <is>
          <t>Build the word 'polysynthetic'.</t>
        </is>
      </c>
      <c r="D30" s="7" t="inlineStr">
        <is>
          <t>Secret + points</t>
        </is>
      </c>
      <c r="E30" s="7" t="inlineStr">
        <is>
          <t>Triggers boss jump; +5 Lexicon</t>
        </is>
      </c>
    </row>
    <row r="31">
      <c r="A31" s="5" t="inlineStr">
        <is>
          <t>Polysynthesis</t>
        </is>
      </c>
      <c r="B31" s="5" t="inlineStr">
        <is>
          <t>Easter egg</t>
        </is>
      </c>
      <c r="C31" s="5" t="inlineStr">
        <is>
          <t>Build the word 'polysynthesis'.</t>
        </is>
      </c>
      <c r="D31" s="5" t="inlineStr">
        <is>
          <t>Secret + points</t>
        </is>
      </c>
      <c r="E31" s="5" t="inlineStr">
        <is>
          <t>Triggers boss jump; +5 Lexicon</t>
        </is>
      </c>
    </row>
    <row r="32">
      <c r="A32" s="7" t="inlineStr">
        <is>
          <t>Morpheme</t>
        </is>
      </c>
      <c r="B32" s="7" t="inlineStr">
        <is>
          <t>Easter egg</t>
        </is>
      </c>
      <c r="C32" s="7" t="inlineStr">
        <is>
          <t>Build the word 'morpheme'.</t>
        </is>
      </c>
      <c r="D32" s="7" t="inlineStr">
        <is>
          <t>Secret + points</t>
        </is>
      </c>
      <c r="E32" s="7" t="inlineStr">
        <is>
          <t>Triggers boss jump; +3 Lexicon</t>
        </is>
      </c>
    </row>
    <row r="33">
      <c r="A33" s="5" t="inlineStr">
        <is>
          <t>Agglutinative</t>
        </is>
      </c>
      <c r="B33" s="5" t="inlineStr">
        <is>
          <t>Easter egg</t>
        </is>
      </c>
      <c r="C33" s="5" t="inlineStr">
        <is>
          <t>Build the word 'agglutinative'.</t>
        </is>
      </c>
      <c r="D33" s="5" t="inlineStr">
        <is>
          <t>Secret + points</t>
        </is>
      </c>
      <c r="E33" s="5" t="inlineStr">
        <is>
          <t>Triggers boss jump; +5 Lexicon</t>
        </is>
      </c>
    </row>
    <row r="34">
      <c r="A34" s="7" t="inlineStr">
        <is>
          <t>Sesquipedalian (word)</t>
        </is>
      </c>
      <c r="B34" s="7" t="inlineStr">
        <is>
          <t>Easter egg</t>
        </is>
      </c>
      <c r="C34" s="7" t="inlineStr">
        <is>
          <t>Build the word 'sesquipedalian'.</t>
        </is>
      </c>
      <c r="D34" s="7" t="inlineStr">
        <is>
          <t>Secret + points</t>
        </is>
      </c>
      <c r="E34" s="7" t="inlineStr">
        <is>
          <t>Triggers boss jump; +5 Lexicon</t>
        </is>
      </c>
    </row>
    <row r="35">
      <c r="A35" s="5" t="inlineStr">
        <is>
          <t>Trapdoor</t>
        </is>
      </c>
      <c r="B35" s="5" t="inlineStr">
        <is>
          <t>Easter egg</t>
        </is>
      </c>
      <c r="C35" s="5" t="inlineStr">
        <is>
          <t>Trigger a boss jump and beat the boss.</t>
        </is>
      </c>
      <c r="D35" s="5" t="inlineStr">
        <is>
          <t>Points + unlock</t>
        </is>
      </c>
      <c r="E35" s="5" t="inlineStr">
        <is>
          <t>+8 Lexicon; Second Wind</t>
        </is>
      </c>
    </row>
    <row r="36">
      <c r="A36" s="7" t="inlineStr">
        <is>
          <t>Challenger</t>
        </is>
      </c>
      <c r="B36" s="7" t="inlineStr">
        <is>
          <t>Challenge</t>
        </is>
      </c>
      <c r="C36" s="7" t="inlineStr">
        <is>
          <t>Win a run with 3+ challenge modifiers active.</t>
        </is>
      </c>
      <c r="D36" s="7" t="inlineStr">
        <is>
          <t>Budget</t>
        </is>
      </c>
      <c r="E36" s="7" t="inlineStr">
        <is>
          <t>+2 loadout points</t>
        </is>
      </c>
    </row>
    <row r="37">
      <c r="A37" s="5" t="inlineStr">
        <is>
          <t>Ironman</t>
        </is>
      </c>
      <c r="B37" s="5" t="inlineStr">
        <is>
          <t>Challenge</t>
        </is>
      </c>
      <c r="C37" s="5" t="inlineStr">
        <is>
          <t>Win a run with No Breath + Steep + Tight Clock.</t>
        </is>
      </c>
      <c r="D37" s="5" t="inlineStr">
        <is>
          <t>Budget + points</t>
        </is>
      </c>
      <c r="E37" s="5" t="inlineStr">
        <is>
          <t>+3 loadout points; +10 Lexicon</t>
        </is>
      </c>
    </row>
    <row r="39" ht="78" customHeight="1">
      <c r="A39" s="10" t="inlineStr">
        <is>
          <t>Lexicon point values and loadout increments are illustrative. Base Lexicon award per run (proposal): +1 per round cleared, +2 per boss beaten, +5 for a win.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6"/>
  <sheetViews>
    <sheetView workbookViewId="0">
      <pane ySplit="4" topLeftCell="A5" activePane="bottomLeft" state="frozen"/>
      <selection pane="bottomLeft" activeCell="A1" sqref="A1"/>
    </sheetView>
  </sheetViews>
  <sheetFormatPr baseColWidth="8" defaultRowHeight="15"/>
  <cols>
    <col width="4" customWidth="1" min="1" max="1"/>
    <col width="12" customWidth="1" min="2" max="2"/>
    <col width="22" customWidth="1" min="3" max="3"/>
    <col width="48" customWidth="1" min="4" max="4"/>
    <col width="48" customWidth="1" min="5" max="5"/>
    <col width="48" customWidth="1" min="6" max="6"/>
    <col width="16" customWidth="1" min="7" max="7"/>
    <col width="30" customWidth="1" min="8" max="8"/>
  </cols>
  <sheetData>
    <row r="1">
      <c r="A1" s="1" t="inlineStr">
        <is>
          <t>Decisions</t>
        </is>
      </c>
    </row>
    <row r="2">
      <c r="A2" s="2" t="inlineStr">
        <is>
          <t>Open design decisions raised by building and playtesting the prototype. Status: open / decided / dropped. When decided, update DESIGN.md and the relevant tab, and note the outcome here.</t>
        </is>
      </c>
    </row>
    <row r="4">
      <c r="A4" s="3" t="inlineStr">
        <is>
          <t>#</t>
        </is>
      </c>
      <c r="B4" s="3" t="inlineStr">
        <is>
          <t>Date raised</t>
        </is>
      </c>
      <c r="C4" s="3" t="inlineStr">
        <is>
          <t>Area</t>
        </is>
      </c>
      <c r="D4" s="3" t="inlineStr">
        <is>
          <t>Decision needed</t>
        </is>
      </c>
      <c r="E4" s="3" t="inlineStr">
        <is>
          <t>Context / evidence</t>
        </is>
      </c>
      <c r="F4" s="3" t="inlineStr">
        <is>
          <t>Options</t>
        </is>
      </c>
      <c r="G4" s="3" t="inlineStr">
        <is>
          <t>Status</t>
        </is>
      </c>
      <c r="H4" s="3" t="inlineStr">
        <is>
          <t>Outcome</t>
        </is>
      </c>
    </row>
    <row r="5">
      <c r="A5" s="4" t="n">
        <v>1</v>
      </c>
      <c r="B5" s="24" t="inlineStr">
        <is>
          <t>2026-09-16</t>
        </is>
      </c>
      <c r="C5" s="24" t="inlineStr">
        <is>
          <t>Cards — Sound Shift</t>
        </is>
      </c>
      <c r="D5" s="24" t="inlineStr">
        <is>
          <t>Re-evaluate Sound Shift cards. Once a shift makes the active word invalid, later steps must restore it — but back-only extension (D5) can never repair a broken head word, and a Before &amp; After moves the tail elsewhere, so the run gets stuck. Many shifts are therefore rarely usable.</t>
        </is>
      </c>
      <c r="E5" s="24" t="inlineStr">
        <is>
          <t>Playtest 2026-09-16: "prestaged" shifted to "rrestaged", then B&amp;A "do" → head "rrestaged" permanently invalid; SUBMIT rejected. Prototype fix: card uses are now undoable (Undo last card) so the player can recover, but the design question stands.</t>
        </is>
      </c>
      <c r="F5" s="24" t="inlineStr">
        <is>
          <t>(a) Validate only the words a shift touches and allow front steps to repair the head. (b) Preview-and-reject: a shift is only allowed if the resulting word is valid or can be completed from the hand. (c) Shifts apply to the *next* step only (change letters of the tiles you are about to play). (d) Make shifts strain-free but require validity immediately (reject invalid shifts).</t>
        </is>
      </c>
      <c r="G5" s="24" t="inlineStr">
        <is>
          <t>open</t>
        </is>
      </c>
      <c r="H5" s="24" t="inlineStr"/>
    </row>
    <row r="6">
      <c r="A6" s="4" t="n">
        <v>2</v>
      </c>
      <c r="B6" s="24" t="inlineStr">
        <is>
          <t>2026-09-16</t>
        </is>
      </c>
      <c r="C6" s="24" t="inlineStr">
        <is>
          <t>Cards — Extension guarantee</t>
        </is>
      </c>
      <c r="D6" s="24" t="inlineStr">
        <is>
          <t>Which cards may fill the guaranteed Extension slot?</t>
        </is>
      </c>
      <c r="E6" s="24" t="inlineStr">
        <is>
          <t>Reduplication and Blend stranded bot runs at round 3 (need specific tail letters).</t>
        </is>
      </c>
      <c r="F6" s="24" t="inlineStr">
        <is>
          <t>Current prototype rule: Hyphen / Before &amp; After / Free Morpheme only (balance.shop.guaranteePool).</t>
        </is>
      </c>
      <c r="G6" s="24" t="inlineStr">
        <is>
          <t>decided (prototype)</t>
        </is>
      </c>
      <c r="H6" s="24" t="inlineStr">
        <is>
          <t>Pool limited to cards usable with any hand; revisit with human playtests.</t>
        </is>
      </c>
    </row>
    <row r="7">
      <c r="A7" s="4" t="n">
        <v>3</v>
      </c>
      <c r="B7" s="24" t="inlineStr">
        <is>
          <t>2026-09-16</t>
        </is>
      </c>
      <c r="C7" s="24" t="inlineStr">
        <is>
          <t>Scoring — boss factor</t>
        </is>
      </c>
      <c r="D7" s="24" t="inlineStr">
        <is>
          <t>Boss threshold factor: 1.5 → 3.</t>
        </is>
      </c>
      <c r="E7" s="24" t="inlineStr">
        <is>
          <t>Boss score is feed-bound (nearly every fed tile gets placed); at 1.5 the bot beat B1 by 7–37×. At 3 the Scoring-tab scenario still passes all bosses with narrowing margins (B4–B6: 1.36 / 1.42 / 1.08).</t>
        </is>
      </c>
      <c r="F7" s="24" t="inlineStr">
        <is>
          <t>Keep 3; or 2.5 if B3+ feel punishing to humans once the loadout budget reaches 8–10.</t>
        </is>
      </c>
      <c r="G7" s="24" t="inlineStr">
        <is>
          <t>decided (prototype)</t>
        </is>
      </c>
      <c r="H7" s="24" t="inlineStr">
        <is>
          <t>Factor 3 (Scoring tab C8). Watch B3–B6 in human playtests.</t>
        </is>
      </c>
    </row>
    <row r="8">
      <c r="A8" s="4" t="n">
        <v>4</v>
      </c>
      <c r="B8" s="24" t="inlineStr">
        <is>
          <t>2026-09-16</t>
        </is>
      </c>
      <c r="C8" s="24" t="inlineStr">
        <is>
          <t>Modifiers — base bonuses</t>
        </is>
      </c>
      <c r="D8" s="24" t="inlineStr">
        <is>
          <t>Magnitude of modifiers that add to the multiplier base.</t>
        </is>
      </c>
      <c r="E8" s="24" t="inlineStr">
        <is>
          <t>The base is raised to (morphemes − 1): +0.1 / +0.05 per round reached 2000× the threshold by round 22 in bot runs.</t>
        </is>
      </c>
      <c r="F8" s="24" t="inlineStr">
        <is>
          <t>Agglutination +0.03, Momentum +0.01 per natural round, Chain Lightning +0.02 per card, Polysynthesis +0.015 (all implemented). Alternative: convert these to flat round-score multipliers.</t>
        </is>
      </c>
      <c r="G8" s="24" t="inlineStr">
        <is>
          <t>decided (prototype)</t>
        </is>
      </c>
      <c r="H8" s="24" t="inlineStr">
        <is>
          <t>Reduced values in the In-Run Modifiers tab.</t>
        </is>
      </c>
    </row>
    <row r="9">
      <c r="A9" s="4" t="n">
        <v>5</v>
      </c>
      <c r="B9" s="24" t="inlineStr">
        <is>
          <t>2026-09-16</t>
        </is>
      </c>
      <c r="C9" s="24" t="inlineStr">
        <is>
          <t>Meta — starting pool</t>
        </is>
      </c>
      <c r="D9" s="24" t="inlineStr">
        <is>
          <t>Which cards and in-run modifiers are in the pool for a new player? Achievements unlock cards/modifiers, but nothing says what is locked at the start.</t>
        </is>
      </c>
      <c r="E9" s="24" t="inlineStr">
        <is>
          <t>Prototype records unlocks in MetaState but does not gate shop/reward pools.</t>
        </is>
      </c>
      <c r="F9" s="24" t="inlineStr">
        <is>
          <t>(a) Everything available; achievements add nothing (drop those rewards). (b) A small starting pool per type; unlocks grow it. (c) Rarity-gated: Basic/Uncommon from the start, Exotic/Relic via unlocks.</t>
        </is>
      </c>
      <c r="G9" s="24" t="inlineStr">
        <is>
          <t>open</t>
        </is>
      </c>
      <c r="H9" s="24" t="inlineStr"/>
    </row>
    <row r="10">
      <c r="A10" s="4" t="n">
        <v>6</v>
      </c>
      <c r="B10" s="24" t="inlineStr">
        <is>
          <t>2026-09-16</t>
        </is>
      </c>
      <c r="C10" s="24" t="inlineStr">
        <is>
          <t>Shop — tile modifier action</t>
        </is>
      </c>
      <c r="D10" s="24" t="inlineStr">
        <is>
          <t>The "apply a Level 1–2 modifier to a tile in hand" shop action: which tile does it target? The hand is empty in the shop.</t>
        </is>
      </c>
      <c r="E10" s="24" t="inlineStr">
        <is>
          <t>Prototype offers add/remove tile only; Tile Smith card applies a modifier in the round instead.</t>
        </is>
      </c>
      <c r="F10" s="24" t="inlineStr">
        <is>
          <t>(a) Target a pool tile by letter. (b) Keep the hand through the shop. (c) Drop the shop action; Tile Smith covers it.</t>
        </is>
      </c>
      <c r="G10" s="24" t="inlineStr">
        <is>
          <t>open</t>
        </is>
      </c>
      <c r="H10" s="24" t="inlineStr"/>
    </row>
    <row r="11">
      <c r="A11" s="4" t="n">
        <v>7</v>
      </c>
      <c r="B11" s="24" t="inlineStr">
        <is>
          <t>2026-09-16</t>
        </is>
      </c>
      <c r="C11" s="24" t="inlineStr">
        <is>
          <t>Economy — extension cards</t>
        </is>
      </c>
      <c r="D11" s="24" t="inlineStr">
        <is>
          <t>Is a 3-currency Hyphen every round too generous? Once a flexible extension card is in hand the "always extend" pressure mostly disappears.</t>
        </is>
      </c>
      <c r="E11" s="24" t="inlineStr">
        <is>
          <t>Bot with a Hyphen policy: 9/10 wins on the 12-modifier pool, 4/10 on the full pool. Income 7–25 per round vs 3-currency Basic cards.</t>
        </is>
      </c>
      <c r="F11" s="24" t="inlineStr">
        <is>
          <t>(a) Raise strain for Hyphen to 3. (b) Price extension cards by use count. (c) Cap extension cards per boss cycle. (d) Leave; difficulty comes from bosses.</t>
        </is>
      </c>
      <c r="G11" s="24" t="inlineStr">
        <is>
          <t>open</t>
        </is>
      </c>
      <c r="H11" s="24" t="inlineStr"/>
    </row>
    <row r="12">
      <c r="A12" s="4" t="n">
        <v>8</v>
      </c>
      <c r="B12" s="24" t="inlineStr">
        <is>
          <t>2026-09-16</t>
        </is>
      </c>
      <c r="C12" s="24" t="inlineStr">
        <is>
          <t>Meta — loadout budget</t>
        </is>
      </c>
      <c r="D12" s="24" t="inlineStr">
        <is>
          <t>How the loadout budget grows.</t>
        </is>
      </c>
      <c r="E12" s="24" t="inlineStr">
        <is>
          <t>Only three achievements grew it; players stuck before B3 sat at 4 points.</t>
        </is>
      </c>
      <c r="F12" s="24" t="inlineStr">
        <is>
          <t>Implemented: +1 per boss beaten while below that boss's cap (6/8/10/12/14/16), plus achievements up to 20.</t>
        </is>
      </c>
      <c r="G12" s="24" t="inlineStr">
        <is>
          <t>decided</t>
        </is>
      </c>
      <c r="H12" s="24" t="inlineStr">
        <is>
          <t>DESIGN.md §6.3 rev 5; Pre-Run tab note.</t>
        </is>
      </c>
    </row>
    <row r="13">
      <c r="A13" s="4" t="n">
        <v>9</v>
      </c>
      <c r="B13" s="24" t="inlineStr">
        <is>
          <t>2026-09-16</t>
        </is>
      </c>
      <c r="C13" s="24" t="inlineStr">
        <is>
          <t>Cards — not implemented</t>
        </is>
      </c>
      <c r="D13" s="24" t="inlineStr">
        <is>
          <t>Homophone and Preview cards; Rhyme is approximated as "shares the last two letters"; Decay boss modifier; Lexicon Hint and Scavenger modifiers.</t>
        </is>
      </c>
      <c r="E13" s="24" t="inlineStr">
        <is>
          <t>Homophone/Rhyme need pronunciation data; Preview needs feed reordering UI; Decay has no meaning while words score on placement; Scavenger needs boss tiles to flow back to the pool.</t>
        </is>
      </c>
      <c r="F13" s="24" t="inlineStr">
        <is>
          <t>Drop, redesign, or add a pronunciation list (e.g. CMUdict) for production.</t>
        </is>
      </c>
      <c r="G13" s="24" t="inlineStr">
        <is>
          <t>open</t>
        </is>
      </c>
      <c r="H13" s="24" t="inlineStr"/>
    </row>
    <row r="14">
      <c r="A14" s="4" t="n">
        <v>10</v>
      </c>
      <c r="B14" s="24" t="inlineStr">
        <is>
          <t>2026-09-18</t>
        </is>
      </c>
      <c r="C14" s="24" t="inlineStr">
        <is>
          <t>Scoring — threshold curve</t>
        </is>
      </c>
      <c r="D14" s="24" t="inlineStr">
        <is>
          <t>Threshold growth per round by block instead of a flat 1.5.</t>
        </is>
      </c>
      <c r="E14" s="24" t="inlineStr">
        <is>
          <t>Human playtests: multi-step rounds with a streak and stacked modifiers outgrew a 1.5 geometric curve and made bosses trivial. Bot (no synergies) now dies at rounds 8–12 on the new table and even on gentler tables (1.5/1.75/2/2.25/2.5/3 and 1.5/1.75/1.75/2/2/2.5); the no-modifier Scoring-tab scenario fails at B2. Human data needed.</t>
        </is>
      </c>
      <c r="F14" s="24" t="inlineStr">
        <is>
          <t>Implemented: 1.5 / 1.5 / 1.75 / 2 / 2.25 / 2.5 (Scoring tab G6:G11; editable live in the debug panel). History: 1.5 flat → 1.5/2/2.5/3/3.5/5 → 1.5/2/2.5/3/3.25/3.5 → 1.25/1.5/1.75/2/2.25/2.5 → this (rounds 1–8 back to the original 1.5).</t>
        </is>
      </c>
      <c r="G14" s="24" t="inlineStr">
        <is>
          <t>decided (prototype)</t>
        </is>
      </c>
      <c r="H14" s="24" t="inlineStr">
        <is>
          <t>B1 40, B2 205, B3 1.9k, B4 30.8k, B5 789k, B6 30.8M. Hand size 8.</t>
        </is>
      </c>
    </row>
    <row r="15">
      <c r="A15" s="4" t="n">
        <v>11</v>
      </c>
      <c r="B15" s="24" t="inlineStr">
        <is>
          <t>2026-09-18</t>
        </is>
      </c>
      <c r="C15" s="24" t="inlineStr">
        <is>
          <t>Pre-run — Substrate</t>
        </is>
      </c>
      <c r="D15" s="24" t="inlineStr">
        <is>
          <t>Hand size was a huge advantage; reorder the levels.</t>
        </is>
      </c>
      <c r="E15" s="24" t="inlineStr">
        <is>
          <t>Playtest feedback.</t>
        </is>
      </c>
      <c r="F15" s="24" t="inlineStr">
        <is>
          <t>Implemented: L1 free redraw; L2 hand +1; L3 hand +1 + redraw; L4 hand +2 + redraw.</t>
        </is>
      </c>
      <c r="G15" s="24" t="inlineStr">
        <is>
          <t>decided</t>
        </is>
      </c>
      <c r="H15" s="24" t="inlineStr">
        <is>
          <t>Pre-Run tab row updated.</t>
        </is>
      </c>
    </row>
    <row r="16">
      <c r="A16" s="4" t="n">
        <v>12</v>
      </c>
      <c r="B16" s="24" t="inlineStr">
        <is>
          <t>2026-09-18</t>
        </is>
      </c>
      <c r="C16" s="24" t="inlineStr">
        <is>
          <t>Lives — replay the round</t>
        </is>
      </c>
      <c r="D16" s="24" t="inlineStr">
        <is>
          <t>Losing a life (fail or forfeit) replays the same round instead of advancing.</t>
        </is>
      </c>
      <c r="E16" s="24" t="inlineStr">
        <is>
          <t>Advancing made a forfeit a free skip; replaying makes a life a free re-roll of the hand (regular) or a new modifier (boss).</t>
        </is>
      </c>
      <c r="F16" s="24" t="inlineStr">
        <is>
          <t>Implemented: the failed round's steps and card uses are undone, tiles return, a fresh hand is drawn; bosses re-roll the modifier (D1).</t>
        </is>
      </c>
      <c r="G16" s="24" t="inlineStr">
        <is>
          <t>decided</t>
        </is>
      </c>
      <c r="H16" s="24" t="inlineStr">
        <is>
          <t>DESIGN.md §2.1; Second Breath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2026-09-16T03:13:26Z</dcterms:created>
  <dcterms:modified xsi:type="dcterms:W3CDTF">2026-09-18T16:41:33Z</dcterms:modified>
  <cp:lastModifiedBy>Atkiss, Brian</cp:lastModifiedBy>
</cp:coreProperties>
</file>